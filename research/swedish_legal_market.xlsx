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Growth drivers" sheetId="2" state="visible" r:id="rId2"/>
    <sheet xmlns:r="http://schemas.openxmlformats.org/officeDocument/2006/relationships" name="A. Niche firms" sheetId="3" state="visible" r:id="rId3"/>
    <sheet xmlns:r="http://schemas.openxmlformats.org/officeDocument/2006/relationships" name="B. Practice rankings" sheetId="4" state="visible" r:id="rId4"/>
    <sheet xmlns:r="http://schemas.openxmlformats.org/officeDocument/2006/relationships" name="B. Rankings raw" sheetId="5" state="visible" r:id="rId5"/>
    <sheet xmlns:r="http://schemas.openxmlformats.org/officeDocument/2006/relationships" name="C. Benchmarking" sheetId="6" state="visible" r:id="rId6"/>
    <sheet xmlns:r="http://schemas.openxmlformats.org/officeDocument/2006/relationships" name="D. Rate cards" sheetId="7" state="visible" r:id="rId7"/>
    <sheet xmlns:r="http://schemas.openxmlformats.org/officeDocument/2006/relationships" name="E. Partner compensation" sheetId="8" state="visible" r:id="rId8"/>
    <sheet xmlns:r="http://schemas.openxmlformats.org/officeDocument/2006/relationships" name="F. M&amp;A &amp; team lifts" sheetId="9" state="visible" r:id="rId9"/>
  </sheets>
  <definedNames>
    <definedName name="_xlnm._FilterDatabase" localSheetId="4"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b val="1"/>
      <sz val="14"/>
    </font>
    <font>
      <b val="1"/>
      <color rgb="00FFFFFF"/>
    </font>
    <font>
      <b val="1"/>
      <sz val="8"/>
    </font>
    <font/>
    <font>
      <b val="1"/>
    </font>
    <font>
      <i val="1"/>
      <sz val="9"/>
    </font>
    <font>
      <b val="1"/>
      <sz val="11"/>
    </font>
    <font>
      <b val="1"/>
      <sz val="9"/>
    </font>
  </fonts>
  <fills count="11">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1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pivotButton="0" quotePrefix="0" xfId="0"/>
    <xf numFmtId="0" fontId="0" fillId="10"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12" min="1" max="1"/>
    <col width="40" customWidth="1" style="112" min="2" max="2"/>
    <col width="20" customWidth="1" style="112" min="3" max="3"/>
    <col width="24" customWidth="1" style="112" min="4" max="4"/>
    <col width="20" customWidth="1" style="112"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12" min="1" max="1"/>
    <col width="22" customWidth="1" style="112" min="2" max="2"/>
    <col width="16" customWidth="1" style="112" min="3" max="3"/>
    <col width="14" customWidth="1" style="112" min="4" max="4"/>
    <col width="80" customWidth="1" style="112" min="5" max="5"/>
    <col width="60" customWidth="1" style="112" min="6" max="6"/>
  </cols>
  <sheetData>
    <row r="1">
      <c r="A1" s="1" t="inlineStr">
        <is>
          <t>A3.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12" min="1" max="1"/>
    <col width="30" customWidth="1" style="112" min="2" max="2"/>
    <col width="10" customWidth="1" style="112" min="3" max="3"/>
    <col width="10" customWidth="1" style="112" min="4" max="4"/>
    <col width="10" customWidth="1" style="112" min="5" max="5"/>
    <col width="9" customWidth="1" style="112" min="6" max="6"/>
    <col width="36" customWidth="1" style="112" min="7" max="7"/>
    <col width="28" customWidth="1" style="112" min="8" max="8"/>
    <col width="9" customWidth="1" style="112" min="9" max="9"/>
    <col width="9" customWidth="1" style="112" min="10" max="10"/>
    <col width="28" customWidth="1" style="112" min="11" max="11"/>
    <col width="12" customWidth="1" style="112" min="12" max="12"/>
    <col width="11" customWidth="1" style="112" min="13" max="13"/>
  </cols>
  <sheetData>
    <row r="1">
      <c r="A1" s="1" t="inlineStr">
        <is>
          <t>A4. Swedish law firms ranked by Chambers or Legal 500: full-service, independents, PE-owned and firms to watch</t>
        </is>
      </c>
    </row>
    <row r="2" ht="60" customHeight="1" s="112">
      <c r="A2" s="2" t="inlineStr">
        <is>
          <t>Universe: firm-level rankings in Chambers Europe 2026 (Sweden) and Legal 500 EMEA (Sweden), incl. Legal 500 "firms to watch". Excludes international firms (listed at the bottom). Counts: 9 full-service Swedish firms; 45 ranked independents (incl. PE-owned AGRD firms) + 2 firms to watch only = 47; +5 borderline mid-size firms = 52 niche/independent firms.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c r="L4" s="52" t="inlineStr">
        <is>
          <t>Afv fee income FY2024 (SEK m)</t>
        </is>
      </c>
      <c r="M4" s="52" t="inlineStr">
        <is>
          <t>Revenue / partner (SEK m)</t>
        </is>
      </c>
    </row>
    <row r="5">
      <c r="A5" s="113" t="inlineStr">
        <is>
          <t>Vinge</t>
        </is>
      </c>
      <c r="B5" s="105" t="inlineStr">
        <is>
          <t>Full-service Swedish firm</t>
        </is>
      </c>
      <c r="C5" s="113" t="n">
        <v>19</v>
      </c>
      <c r="D5" s="113" t="n">
        <v>21</v>
      </c>
      <c r="E5" s="113" t="n">
        <v>0</v>
      </c>
      <c r="F5" s="113" t="n">
        <v>1</v>
      </c>
      <c r="G5" s="105" t="inlineStr">
        <is>
          <t>Banking &amp; finance; Capital markets: debt; Capital markets: equity; Competition / EU; Corporate / M&amp;A; Dispute resolution; Employment; Energy; Fintech; Healthcare / life sciences; IP; IT / TMT; Insurance; PE fund formation; Private equity; Public procurement; Restructuring / insolvency; Shipping; Tax</t>
        </is>
      </c>
      <c r="H5" s="105" t="n"/>
      <c r="I5" s="113" t="n">
        <v>71</v>
      </c>
      <c r="J5" s="113" t="n">
        <v>389</v>
      </c>
      <c r="K5" s="105" t="inlineStr">
        <is>
          <t>Firm website, Oct-26</t>
        </is>
      </c>
      <c r="L5" s="113" t="n">
        <v>2085</v>
      </c>
      <c r="M5" s="113" t="n">
        <v>29.4</v>
      </c>
    </row>
    <row r="6">
      <c r="A6" s="113" t="inlineStr">
        <is>
          <t>Mannheimer Swartling</t>
        </is>
      </c>
      <c r="B6" s="105" t="inlineStr">
        <is>
          <t>Full-service Swedish firm</t>
        </is>
      </c>
      <c r="C6" s="113" t="n">
        <v>19</v>
      </c>
      <c r="D6" s="113" t="n">
        <v>21</v>
      </c>
      <c r="E6" s="113" t="n">
        <v>0</v>
      </c>
      <c r="F6" s="113" t="n">
        <v>1</v>
      </c>
      <c r="G6" s="105" t="inlineStr">
        <is>
          <t>Banking &amp; finance; Capital markets: debt; Capital markets: equity; Competition / EU; Construction; Corporate / M&amp;A; Corporate investigations; Data protection; Dispute resolution; Employment; Energy; Environment; Fintech; Healthcare / life sciences; IT / TMT; Insurance; PE fund formation; Private equity; Real estate; Restructuring / insolvency; Shipping; Tax</t>
        </is>
      </c>
      <c r="H6" s="105" t="n"/>
      <c r="I6" s="113" t="n">
        <v>92</v>
      </c>
      <c r="J6" s="113" t="n">
        <v>430</v>
      </c>
      <c r="K6" s="105" t="inlineStr">
        <is>
          <t>DJ / Chambers 2026</t>
        </is>
      </c>
      <c r="L6" s="113" t="n">
        <v>1911</v>
      </c>
      <c r="M6" s="113" t="n">
        <v>20.8</v>
      </c>
    </row>
    <row r="7">
      <c r="A7" s="113" t="inlineStr">
        <is>
          <t>Setterwalls</t>
        </is>
      </c>
      <c r="B7" s="105" t="inlineStr">
        <is>
          <t>Full-service Swedish firm</t>
        </is>
      </c>
      <c r="C7" s="113" t="n">
        <v>15</v>
      </c>
      <c r="D7" s="113" t="n">
        <v>21</v>
      </c>
      <c r="E7" s="113" t="n">
        <v>0</v>
      </c>
      <c r="F7" s="113" t="n">
        <v>1</v>
      </c>
      <c r="G7" s="105" t="inlineStr">
        <is>
          <t>Banking &amp; finance; Data protection; Employment; Energy; Environment; Fintech; Healthcare / life sciences; IP; IT / TMT; Insurance; Real estate; Shipping</t>
        </is>
      </c>
      <c r="H7" s="105" t="n"/>
      <c r="I7" s="113" t="n">
        <v>38</v>
      </c>
      <c r="J7" s="113" t="n">
        <v>177</v>
      </c>
      <c r="K7" s="105" t="inlineStr">
        <is>
          <t>Firm website, Oct-26</t>
        </is>
      </c>
      <c r="L7" s="113" t="n">
        <v>918</v>
      </c>
      <c r="M7" s="113" t="n">
        <v>24.2</v>
      </c>
    </row>
    <row r="8">
      <c r="A8" s="113" t="inlineStr">
        <is>
          <t>Lindahl</t>
        </is>
      </c>
      <c r="B8" s="105" t="inlineStr">
        <is>
          <t>Full-service Swedish firm</t>
        </is>
      </c>
      <c r="C8" s="113" t="n">
        <v>12</v>
      </c>
      <c r="D8" s="113" t="n">
        <v>17</v>
      </c>
      <c r="E8" s="113" t="n">
        <v>0</v>
      </c>
      <c r="F8" s="113" t="n">
        <v>1</v>
      </c>
      <c r="G8" s="105" t="inlineStr">
        <is>
          <t>Real estate</t>
        </is>
      </c>
      <c r="H8" s="105" t="n"/>
      <c r="I8" s="113" t="n">
        <v>68</v>
      </c>
      <c r="J8" s="113" t="n">
        <v>220</v>
      </c>
      <c r="K8" s="105" t="inlineStr">
        <is>
          <t>Legal 500</t>
        </is>
      </c>
      <c r="L8" s="113" t="n">
        <v>737</v>
      </c>
      <c r="M8" s="113" t="n">
        <v>10.8</v>
      </c>
    </row>
    <row r="9">
      <c r="A9" s="113" t="inlineStr">
        <is>
          <t>Gernandt &amp; Danielsson</t>
        </is>
      </c>
      <c r="B9" s="105" t="inlineStr">
        <is>
          <t>Full-service Swedish firm</t>
        </is>
      </c>
      <c r="C9" s="113" t="n">
        <v>8</v>
      </c>
      <c r="D9" s="113" t="n">
        <v>11</v>
      </c>
      <c r="E9" s="113" t="n">
        <v>0</v>
      </c>
      <c r="F9" s="113" t="n">
        <v>1</v>
      </c>
      <c r="G9" s="105" t="inlineStr">
        <is>
          <t>Banking &amp; finance; Capital markets: debt; Capital markets: equity; Corporate / M&amp;A; Restructuring / insolvency</t>
        </is>
      </c>
      <c r="H9" s="105" t="n"/>
      <c r="I9" s="113" t="n">
        <v>20</v>
      </c>
      <c r="J9" s="113" t="n">
        <v>91</v>
      </c>
      <c r="K9" s="105" t="inlineStr">
        <is>
          <t>Firm website, Oct-26</t>
        </is>
      </c>
      <c r="L9" s="113" t="n">
        <v>676</v>
      </c>
      <c r="M9" s="113" t="n">
        <v>33.8</v>
      </c>
    </row>
    <row r="10">
      <c r="A10" s="113" t="inlineStr">
        <is>
          <t>Delphi</t>
        </is>
      </c>
      <c r="B10" s="105" t="inlineStr">
        <is>
          <t>Full-service Swedish firm</t>
        </is>
      </c>
      <c r="C10" s="113" t="n">
        <v>8</v>
      </c>
      <c r="D10" s="113" t="n">
        <v>15</v>
      </c>
      <c r="E10" s="113" t="n">
        <v>0</v>
      </c>
      <c r="F10" s="113" t="n">
        <v>1</v>
      </c>
      <c r="G10" s="105" t="inlineStr">
        <is>
          <t>Data protection; IT / TMT</t>
        </is>
      </c>
      <c r="H10" s="105" t="n"/>
      <c r="I10" s="113" t="n">
        <v>49</v>
      </c>
      <c r="J10" s="113" t="n">
        <v>150</v>
      </c>
      <c r="K10" s="105" t="inlineStr">
        <is>
          <t>Chambers 2026</t>
        </is>
      </c>
      <c r="L10" s="113" t="n">
        <v>516</v>
      </c>
      <c r="M10" s="113" t="n">
        <v>10.5</v>
      </c>
    </row>
    <row r="11">
      <c r="A11" s="113" t="inlineStr">
        <is>
          <t>Cederquist</t>
        </is>
      </c>
      <c r="B11" s="105" t="inlineStr">
        <is>
          <t>Full-service Swedish firm</t>
        </is>
      </c>
      <c r="C11" s="113" t="n">
        <v>11</v>
      </c>
      <c r="D11" s="113" t="n">
        <v>17</v>
      </c>
      <c r="E11" s="113" t="n">
        <v>0</v>
      </c>
      <c r="F11" s="113" t="n">
        <v>1</v>
      </c>
      <c r="G11" s="105" t="inlineStr">
        <is>
          <t>Capital markets: debt; Data protection</t>
        </is>
      </c>
      <c r="H11" s="105" t="n"/>
      <c r="I11" s="113" t="n">
        <v>26</v>
      </c>
      <c r="J11" s="113" t="n">
        <v>124</v>
      </c>
      <c r="K11" s="105" t="inlineStr">
        <is>
          <t>Legal 500</t>
        </is>
      </c>
      <c r="L11" s="113" t="n">
        <v>500</v>
      </c>
      <c r="M11" s="113" t="n">
        <v>19.2</v>
      </c>
    </row>
    <row r="12">
      <c r="A12" s="113" t="inlineStr">
        <is>
          <t>MAQS</t>
        </is>
      </c>
      <c r="B12" s="105" t="inlineStr">
        <is>
          <t>Full-service Swedish firm</t>
        </is>
      </c>
      <c r="C12" s="113" t="n">
        <v>1</v>
      </c>
      <c r="D12" s="113" t="n">
        <v>11</v>
      </c>
      <c r="E12" s="113" t="n">
        <v>0</v>
      </c>
      <c r="F12" s="113" t="n">
        <v>2</v>
      </c>
      <c r="G12" s="105" t="inlineStr">
        <is>
          <t>Construction; Energy</t>
        </is>
      </c>
      <c r="H12" s="105" t="n"/>
      <c r="I12" s="113" t="n">
        <v>48</v>
      </c>
      <c r="J12" s="113" t="n">
        <v>144</v>
      </c>
      <c r="K12" s="105" t="inlineStr">
        <is>
          <t>Firm website, Oct-26</t>
        </is>
      </c>
      <c r="L12" s="113" t="n">
        <v>417</v>
      </c>
      <c r="M12" s="113" t="n">
        <v>8.699999999999999</v>
      </c>
    </row>
    <row r="13">
      <c r="A13" s="113" t="inlineStr">
        <is>
          <t>Cirio</t>
        </is>
      </c>
      <c r="B13" s="105" t="inlineStr">
        <is>
          <t>Full-service Swedish firm</t>
        </is>
      </c>
      <c r="C13" s="113" t="n">
        <v>10</v>
      </c>
      <c r="D13" s="113" t="n">
        <v>15</v>
      </c>
      <c r="E13" s="113" t="n">
        <v>1</v>
      </c>
      <c r="F13" s="113" t="n">
        <v>1</v>
      </c>
      <c r="G13" s="105" t="inlineStr">
        <is>
          <t>Data protection; Energy; Healthcare / life sciences; Insolvency trustees; Real estate; Restructuring / insolvency</t>
        </is>
      </c>
      <c r="H13" s="105" t="inlineStr">
        <is>
          <t>Employment</t>
        </is>
      </c>
      <c r="I13" s="113" t="n">
        <v>27</v>
      </c>
      <c r="J13" s="113" t="n">
        <v>76</v>
      </c>
      <c r="K13" s="105" t="inlineStr">
        <is>
          <t>Legal 500</t>
        </is>
      </c>
      <c r="L13" s="113" t="n">
        <v>363</v>
      </c>
      <c r="M13" s="113" t="n">
        <v>13.4</v>
      </c>
    </row>
    <row r="14">
      <c r="A14" s="114" t="inlineStr">
        <is>
          <t>AG Advokat</t>
        </is>
      </c>
      <c r="B14" s="49" t="inlineStr">
        <is>
          <t>Ranked independent</t>
        </is>
      </c>
      <c r="C14" s="114" t="n">
        <v>1</v>
      </c>
      <c r="D14" s="114" t="n">
        <v>3</v>
      </c>
      <c r="E14" s="114" t="n">
        <v>0</v>
      </c>
      <c r="F14" s="114" t="n">
        <v>1</v>
      </c>
      <c r="G14" s="49" t="inlineStr">
        <is>
          <t>Real estate</t>
        </is>
      </c>
      <c r="H14" s="49" t="n"/>
      <c r="I14" s="114" t="n"/>
      <c r="J14" s="114" t="n">
        <v>41</v>
      </c>
      <c r="K14" s="49" t="inlineStr">
        <is>
          <t>L500</t>
        </is>
      </c>
      <c r="L14" s="114" t="n">
        <v>198</v>
      </c>
      <c r="M14" s="114" t="n"/>
    </row>
    <row r="15">
      <c r="A15" s="114" t="inlineStr">
        <is>
          <t>Gulliksson</t>
        </is>
      </c>
      <c r="B15" s="49" t="inlineStr">
        <is>
          <t>Ranked independent</t>
        </is>
      </c>
      <c r="C15" s="114" t="n">
        <v>1</v>
      </c>
      <c r="D15" s="114" t="n">
        <v>1</v>
      </c>
      <c r="E15" s="114" t="n">
        <v>0</v>
      </c>
      <c r="F15" s="114" t="n">
        <v>2</v>
      </c>
      <c r="G15" s="49" t="inlineStr">
        <is>
          <t>IP</t>
        </is>
      </c>
      <c r="H15" s="49" t="n"/>
      <c r="I15" s="114" t="n"/>
      <c r="J15" s="114" t="n">
        <v>41</v>
      </c>
      <c r="K15" s="49" t="inlineStr">
        <is>
          <t>L500</t>
        </is>
      </c>
      <c r="L15" s="114" t="n">
        <v>141</v>
      </c>
      <c r="M15" s="114" t="n"/>
    </row>
    <row r="16">
      <c r="A16" s="114" t="inlineStr">
        <is>
          <t>Nordia Law</t>
        </is>
      </c>
      <c r="B16" s="49" t="inlineStr">
        <is>
          <t>Ranked independent</t>
        </is>
      </c>
      <c r="C16" s="114" t="n">
        <v>1</v>
      </c>
      <c r="D16" s="114" t="n">
        <v>4</v>
      </c>
      <c r="E16" s="114" t="n">
        <v>0</v>
      </c>
      <c r="F16" s="114" t="n">
        <v>2</v>
      </c>
      <c r="G16" s="49" t="inlineStr">
        <is>
          <t>Insurance</t>
        </is>
      </c>
      <c r="H16" s="49" t="n"/>
      <c r="I16" s="114" t="n"/>
      <c r="J16" s="114" t="n"/>
      <c r="K16" s="49" t="n"/>
      <c r="L16" s="114" t="n">
        <v>126</v>
      </c>
      <c r="M16" s="114" t="n"/>
    </row>
    <row r="17">
      <c r="A17" s="114" t="inlineStr">
        <is>
          <t>Andulf</t>
        </is>
      </c>
      <c r="B17" s="49" t="inlineStr">
        <is>
          <t>Ranked independent</t>
        </is>
      </c>
      <c r="C17" s="114" t="n">
        <v>1</v>
      </c>
      <c r="D17" s="114" t="n">
        <v>0</v>
      </c>
      <c r="E17" s="114" t="n">
        <v>0</v>
      </c>
      <c r="F17" s="114" t="n">
        <v>1</v>
      </c>
      <c r="G17" s="49" t="inlineStr">
        <is>
          <t>PE fund formation</t>
        </is>
      </c>
      <c r="H17" s="49" t="n"/>
      <c r="I17" s="114" t="n"/>
      <c r="J17" s="114" t="n"/>
      <c r="K17" s="49" t="n"/>
      <c r="L17" s="114" t="n">
        <v>103</v>
      </c>
      <c r="M17" s="114" t="n"/>
    </row>
    <row r="18">
      <c r="A18" s="114" t="inlineStr">
        <is>
          <t>Norma</t>
        </is>
      </c>
      <c r="B18" s="49" t="inlineStr">
        <is>
          <t>Ranked independent</t>
        </is>
      </c>
      <c r="C18" s="114" t="n">
        <v>0</v>
      </c>
      <c r="D18" s="114" t="n">
        <v>2</v>
      </c>
      <c r="E18" s="114" t="n">
        <v>0</v>
      </c>
      <c r="F18" s="114" t="n">
        <v>4</v>
      </c>
      <c r="G18" s="49" t="inlineStr">
        <is>
          <t>Real estate</t>
        </is>
      </c>
      <c r="H18" s="49" t="n"/>
      <c r="I18" s="114" t="n"/>
      <c r="J18" s="114" t="n"/>
      <c r="K18" s="49" t="n"/>
      <c r="L18" s="114" t="n">
        <v>72</v>
      </c>
      <c r="M18" s="114" t="n"/>
    </row>
    <row r="19">
      <c r="A19" s="114" t="inlineStr">
        <is>
          <t>Kastell</t>
        </is>
      </c>
      <c r="B19" s="49" t="inlineStr">
        <is>
          <t>Ranked independent</t>
        </is>
      </c>
      <c r="C19" s="114" t="n">
        <v>3</v>
      </c>
      <c r="D19" s="114" t="n">
        <v>3</v>
      </c>
      <c r="E19" s="114" t="n">
        <v>0</v>
      </c>
      <c r="F19" s="114" t="n">
        <v>2</v>
      </c>
      <c r="G19" s="49" t="inlineStr">
        <is>
          <t>Competition / EU; Public procurement</t>
        </is>
      </c>
      <c r="H19" s="49" t="n"/>
      <c r="I19" s="114" t="n">
        <v>9</v>
      </c>
      <c r="J19" s="114" t="n">
        <v>18</v>
      </c>
      <c r="K19" s="49" t="inlineStr">
        <is>
          <t>Firm website, Oct-26</t>
        </is>
      </c>
      <c r="L19" s="114" t="n">
        <v>70</v>
      </c>
      <c r="M19" s="114" t="n">
        <v>7.8</v>
      </c>
    </row>
    <row r="20">
      <c r="A20" s="114" t="inlineStr">
        <is>
          <t>Harvest</t>
        </is>
      </c>
      <c r="B20" s="49" t="inlineStr">
        <is>
          <t>Ranked independent</t>
        </is>
      </c>
      <c r="C20" s="114" t="n">
        <v>0</v>
      </c>
      <c r="D20" s="114" t="n">
        <v>2</v>
      </c>
      <c r="E20" s="114" t="n">
        <v>0</v>
      </c>
      <c r="F20" s="114" t="n">
        <v>3</v>
      </c>
      <c r="G20" s="49" t="inlineStr">
        <is>
          <t>Banking &amp; finance; Fintech</t>
        </is>
      </c>
      <c r="H20" s="49" t="n"/>
      <c r="I20" s="114" t="n">
        <v>5</v>
      </c>
      <c r="J20" s="114" t="n">
        <v>27</v>
      </c>
      <c r="K20" s="49" t="inlineStr">
        <is>
          <t>Firm website, Oct-26</t>
        </is>
      </c>
      <c r="L20" s="114" t="n">
        <v>68</v>
      </c>
      <c r="M20" s="114" t="n">
        <v>13.6</v>
      </c>
    </row>
    <row r="21">
      <c r="A21" s="114" t="inlineStr">
        <is>
          <t>Advokatfirman Åberg &amp; Co AB</t>
        </is>
      </c>
      <c r="B21" s="49" t="inlineStr">
        <is>
          <t>Ranked independent</t>
        </is>
      </c>
      <c r="C21" s="114" t="n">
        <v>1</v>
      </c>
      <c r="D21" s="114" t="n">
        <v>0</v>
      </c>
      <c r="E21" s="114" t="n">
        <v>0</v>
      </c>
      <c r="F21" s="114" t="n">
        <v>3</v>
      </c>
      <c r="G21" s="49" t="inlineStr">
        <is>
          <t>Environment</t>
        </is>
      </c>
      <c r="H21" s="49" t="n"/>
      <c r="I21" s="114" t="n"/>
      <c r="J21" s="114" t="n"/>
      <c r="K21" s="49" t="n"/>
      <c r="L21" s="114" t="n">
        <v>47</v>
      </c>
      <c r="M21" s="114" t="n"/>
    </row>
    <row r="22">
      <c r="A22" s="114" t="inlineStr">
        <is>
          <t>Advokatfirman MarLaw AB</t>
        </is>
      </c>
      <c r="B22" s="49" t="inlineStr">
        <is>
          <t>Ranked independent</t>
        </is>
      </c>
      <c r="C22" s="114" t="n">
        <v>0</v>
      </c>
      <c r="D22" s="114" t="n">
        <v>1</v>
      </c>
      <c r="E22" s="114" t="n">
        <v>0</v>
      </c>
      <c r="F22" s="114" t="n">
        <v>4</v>
      </c>
      <c r="G22" s="49" t="inlineStr">
        <is>
          <t>IP</t>
        </is>
      </c>
      <c r="H22" s="49" t="n"/>
      <c r="I22" s="114" t="n"/>
      <c r="J22" s="114" t="n"/>
      <c r="K22" s="49" t="n"/>
      <c r="L22" s="114" t="n">
        <v>34</v>
      </c>
      <c r="M22" s="114" t="n"/>
    </row>
    <row r="23">
      <c r="A23" s="114" t="inlineStr">
        <is>
          <t>Kompass</t>
        </is>
      </c>
      <c r="B23" s="49" t="inlineStr">
        <is>
          <t>Ranked independent</t>
        </is>
      </c>
      <c r="C23" s="114" t="n">
        <v>2</v>
      </c>
      <c r="D23" s="114" t="n">
        <v>1</v>
      </c>
      <c r="E23" s="114" t="n">
        <v>0</v>
      </c>
      <c r="F23" s="114" t="n">
        <v>3</v>
      </c>
      <c r="G23" s="49" t="inlineStr">
        <is>
          <t>Insurance</t>
        </is>
      </c>
      <c r="H23" s="49" t="n"/>
      <c r="I23" s="114" t="n">
        <v>4</v>
      </c>
      <c r="J23" s="114" t="n">
        <v>15</v>
      </c>
      <c r="K23" s="49" t="inlineStr">
        <is>
          <t>L500</t>
        </is>
      </c>
      <c r="L23" s="114" t="n">
        <v>27</v>
      </c>
      <c r="M23" s="114" t="n">
        <v>6.8</v>
      </c>
    </row>
    <row r="24">
      <c r="A24" s="114" t="inlineStr">
        <is>
          <t>Hellström</t>
        </is>
      </c>
      <c r="B24" s="49" t="inlineStr">
        <is>
          <t>Ranked independent</t>
        </is>
      </c>
      <c r="C24" s="114" t="n">
        <v>1</v>
      </c>
      <c r="D24" s="114" t="n">
        <v>7</v>
      </c>
      <c r="E24" s="114" t="n">
        <v>0</v>
      </c>
      <c r="F24" s="114" t="n">
        <v>2</v>
      </c>
      <c r="G24" s="49" t="inlineStr">
        <is>
          <t>Data protection</t>
        </is>
      </c>
      <c r="H24" s="49" t="n"/>
      <c r="I24" s="114" t="n">
        <v>22</v>
      </c>
      <c r="J24" s="114" t="n">
        <v>49</v>
      </c>
      <c r="K24" s="49" t="inlineStr">
        <is>
          <t>L500 (22 partners, 10 senior assoc., 17 assoc.)</t>
        </is>
      </c>
      <c r="L24" s="114" t="n"/>
      <c r="M24" s="114" t="n"/>
    </row>
    <row r="25">
      <c r="A25" s="114" t="inlineStr">
        <is>
          <t>TIME DANOWSKY Advokatbyrå AB</t>
        </is>
      </c>
      <c r="B25" s="49" t="inlineStr">
        <is>
          <t>Ranked independent</t>
        </is>
      </c>
      <c r="C25" s="114" t="n">
        <v>3</v>
      </c>
      <c r="D25" s="114" t="n">
        <v>4</v>
      </c>
      <c r="E25" s="114" t="n">
        <v>0</v>
      </c>
      <c r="F25" s="114" t="n">
        <v>2</v>
      </c>
      <c r="G25" s="49" t="inlineStr">
        <is>
          <t>Data protection; IT / TMT</t>
        </is>
      </c>
      <c r="H25" s="49" t="n"/>
      <c r="I25" s="114" t="n"/>
      <c r="J25" s="114" t="n">
        <v>22</v>
      </c>
      <c r="K25" s="49" t="inlineStr">
        <is>
          <t>L500</t>
        </is>
      </c>
      <c r="L25" s="114" t="n"/>
      <c r="M25" s="114" t="n"/>
    </row>
    <row r="26">
      <c r="A26" s="114" t="inlineStr">
        <is>
          <t>Westerberg &amp; Partners</t>
        </is>
      </c>
      <c r="B26" s="49" t="inlineStr">
        <is>
          <t>Ranked independent</t>
        </is>
      </c>
      <c r="C26" s="114" t="n">
        <v>2</v>
      </c>
      <c r="D26" s="114" t="n">
        <v>4</v>
      </c>
      <c r="E26" s="114" t="n">
        <v>0</v>
      </c>
      <c r="F26" s="114" t="n">
        <v>1</v>
      </c>
      <c r="G26" s="49" t="inlineStr">
        <is>
          <t>IP; Insurance</t>
        </is>
      </c>
      <c r="H26" s="49" t="n"/>
      <c r="I26" s="114" t="n">
        <v>12</v>
      </c>
      <c r="J26" s="114" t="n">
        <v>24</v>
      </c>
      <c r="K26" s="49" t="inlineStr">
        <is>
          <t>Firm website, Oct-26</t>
        </is>
      </c>
      <c r="L26" s="114" t="n"/>
      <c r="M26" s="114" t="n"/>
    </row>
    <row r="27">
      <c r="A27" s="114" t="inlineStr">
        <is>
          <t>Kahn Pedersen</t>
        </is>
      </c>
      <c r="B27" s="49" t="inlineStr">
        <is>
          <t>Ranked independent</t>
        </is>
      </c>
      <c r="C27" s="114" t="n">
        <v>2</v>
      </c>
      <c r="D27" s="114" t="n">
        <v>3</v>
      </c>
      <c r="E27" s="114" t="n">
        <v>0</v>
      </c>
      <c r="F27" s="114" t="n">
        <v>1</v>
      </c>
      <c r="G27" s="49" t="inlineStr">
        <is>
          <t>Data protection; IT / TMT; Public procurement</t>
        </is>
      </c>
      <c r="H27" s="49" t="n"/>
      <c r="I27" s="114" t="n">
        <v>6</v>
      </c>
      <c r="J27" s="114" t="n">
        <v>19</v>
      </c>
      <c r="K27" s="49" t="inlineStr">
        <is>
          <t>L500/Chambers</t>
        </is>
      </c>
      <c r="L27" s="114" t="n"/>
      <c r="M27" s="114" t="n"/>
    </row>
    <row r="28">
      <c r="A28" s="114" t="inlineStr">
        <is>
          <t>Bokwall Rislund</t>
        </is>
      </c>
      <c r="B28" s="49" t="inlineStr">
        <is>
          <t>Ranked independent</t>
        </is>
      </c>
      <c r="C28" s="114" t="n">
        <v>2</v>
      </c>
      <c r="D28" s="114" t="n">
        <v>2</v>
      </c>
      <c r="E28" s="114" t="n">
        <v>0</v>
      </c>
      <c r="F28" s="114" t="n">
        <v>1</v>
      </c>
      <c r="G28" s="49" t="inlineStr">
        <is>
          <t>Competition / EU; Public procurement</t>
        </is>
      </c>
      <c r="H28" s="49" t="n"/>
      <c r="I28" s="114" t="n"/>
      <c r="J28" s="114" t="n"/>
      <c r="K28" s="49" t="n"/>
      <c r="L28" s="114" t="n"/>
      <c r="M28" s="114" t="n"/>
    </row>
    <row r="29">
      <c r="A29" s="114" t="inlineStr">
        <is>
          <t>Sandart &amp; Partners</t>
        </is>
      </c>
      <c r="B29" s="49" t="inlineStr">
        <is>
          <t>Ranked independent</t>
        </is>
      </c>
      <c r="C29" s="114" t="n">
        <v>2</v>
      </c>
      <c r="D29" s="114" t="n">
        <v>2</v>
      </c>
      <c r="E29" s="114" t="n">
        <v>0</v>
      </c>
      <c r="F29" s="114" t="n">
        <v>1</v>
      </c>
      <c r="G29" s="49" t="inlineStr">
        <is>
          <t>IP</t>
        </is>
      </c>
      <c r="H29" s="49" t="n"/>
      <c r="I29" s="114" t="n">
        <v>10</v>
      </c>
      <c r="J29" s="114" t="n">
        <v>12</v>
      </c>
      <c r="K29" s="49" t="inlineStr">
        <is>
          <t>L500</t>
        </is>
      </c>
      <c r="L29" s="114" t="n"/>
      <c r="M29" s="114" t="n"/>
    </row>
    <row r="30">
      <c r="A30" s="114" t="inlineStr">
        <is>
          <t>Brick</t>
        </is>
      </c>
      <c r="B30" s="49" t="inlineStr">
        <is>
          <t>Ranked independent</t>
        </is>
      </c>
      <c r="C30" s="114" t="n">
        <v>1</v>
      </c>
      <c r="D30" s="114" t="n">
        <v>2</v>
      </c>
      <c r="E30" s="114" t="n">
        <v>0</v>
      </c>
      <c r="F30" s="114" t="n">
        <v>2</v>
      </c>
      <c r="G30" s="49" t="inlineStr">
        <is>
          <t>Real estate</t>
        </is>
      </c>
      <c r="H30" s="49" t="n"/>
      <c r="I30" s="114" t="n"/>
      <c r="J30" s="114" t="n"/>
      <c r="K30" s="49" t="n"/>
      <c r="L30" s="114" t="n"/>
      <c r="M30" s="114" t="n"/>
    </row>
    <row r="31">
      <c r="A31" s="114" t="inlineStr">
        <is>
          <t>A1 Advokater</t>
        </is>
      </c>
      <c r="B31" s="49" t="inlineStr">
        <is>
          <t>Ranked independent</t>
        </is>
      </c>
      <c r="C31" s="114" t="n">
        <v>1</v>
      </c>
      <c r="D31" s="114" t="n">
        <v>1</v>
      </c>
      <c r="E31" s="114" t="n">
        <v>0</v>
      </c>
      <c r="F31" s="114" t="n">
        <v>4</v>
      </c>
      <c r="G31" s="49" t="inlineStr">
        <is>
          <t>Dispute resolution</t>
        </is>
      </c>
      <c r="H31" s="49" t="n"/>
      <c r="I31" s="114" t="n"/>
      <c r="J31" s="114" t="n"/>
      <c r="K31" s="49" t="inlineStr">
        <is>
          <t>Chambers: 17 staff</t>
        </is>
      </c>
      <c r="L31" s="114" t="n"/>
      <c r="M31" s="114" t="n"/>
    </row>
    <row r="32">
      <c r="A32" s="114" t="inlineStr">
        <is>
          <t>Elmzell</t>
        </is>
      </c>
      <c r="B32" s="49" t="inlineStr">
        <is>
          <t>Ranked independent</t>
        </is>
      </c>
      <c r="C32" s="114" t="n">
        <v>1</v>
      </c>
      <c r="D32" s="114" t="n">
        <v>1</v>
      </c>
      <c r="E32" s="114" t="n">
        <v>0</v>
      </c>
      <c r="F32" s="114" t="n">
        <v>2</v>
      </c>
      <c r="G32" s="49" t="inlineStr">
        <is>
          <t>Employment</t>
        </is>
      </c>
      <c r="H32" s="49" t="n"/>
      <c r="I32" s="114" t="n"/>
      <c r="J32" s="114" t="n"/>
      <c r="K32" s="49" t="n"/>
      <c r="L32" s="114" t="n"/>
      <c r="M32" s="114" t="n"/>
    </row>
    <row r="33">
      <c r="A33" s="114" t="inlineStr">
        <is>
          <t>Fröberg &amp; Lundholm</t>
        </is>
      </c>
      <c r="B33" s="49" t="inlineStr">
        <is>
          <t>Ranked independent</t>
        </is>
      </c>
      <c r="C33" s="114" t="n">
        <v>1</v>
      </c>
      <c r="D33" s="114" t="n">
        <v>1</v>
      </c>
      <c r="E33" s="114" t="n">
        <v>0</v>
      </c>
      <c r="F33" s="114" t="n">
        <v>1</v>
      </c>
      <c r="G33" s="49" t="inlineStr">
        <is>
          <t>Environment</t>
        </is>
      </c>
      <c r="H33" s="49" t="n"/>
      <c r="I33" s="114" t="n"/>
      <c r="J33" s="114" t="n"/>
      <c r="K33" s="49" t="n"/>
      <c r="L33" s="114" t="n"/>
      <c r="M33" s="114" t="n"/>
    </row>
    <row r="34">
      <c r="A34" s="114" t="inlineStr">
        <is>
          <t>Norburg &amp; Scherp</t>
        </is>
      </c>
      <c r="B34" s="49" t="inlineStr">
        <is>
          <t>Ranked independent</t>
        </is>
      </c>
      <c r="C34" s="114" t="n">
        <v>1</v>
      </c>
      <c r="D34" s="114" t="n">
        <v>1</v>
      </c>
      <c r="E34" s="114" t="n">
        <v>0</v>
      </c>
      <c r="F34" s="114" t="n">
        <v>3</v>
      </c>
      <c r="G34" s="49" t="inlineStr">
        <is>
          <t>Dispute resolution</t>
        </is>
      </c>
      <c r="H34" s="49" t="n"/>
      <c r="I34" s="114" t="n"/>
      <c r="J34" s="114" t="n">
        <v>18</v>
      </c>
      <c r="K34" s="49" t="inlineStr">
        <is>
          <t>L500</t>
        </is>
      </c>
      <c r="L34" s="114" t="n"/>
      <c r="M34" s="114" t="n"/>
    </row>
    <row r="35">
      <c r="A35" s="114" t="inlineStr">
        <is>
          <t>RE:FI STHLM</t>
        </is>
      </c>
      <c r="B35" s="49" t="inlineStr">
        <is>
          <t>Ranked independent</t>
        </is>
      </c>
      <c r="C35" s="114" t="n">
        <v>1</v>
      </c>
      <c r="D35" s="114" t="n">
        <v>1</v>
      </c>
      <c r="E35" s="114" t="n">
        <v>0</v>
      </c>
      <c r="F35" s="114" t="n">
        <v>3</v>
      </c>
      <c r="G35" s="49" t="inlineStr">
        <is>
          <t>Banking &amp; finance</t>
        </is>
      </c>
      <c r="H35" s="49" t="n"/>
      <c r="I35" s="114" t="n"/>
      <c r="J35" s="114" t="n"/>
      <c r="K35" s="49" t="n"/>
      <c r="L35" s="114" t="n"/>
      <c r="M35" s="114" t="n"/>
    </row>
    <row r="36">
      <c r="A36" s="114" t="inlineStr">
        <is>
          <t>REAL Advokatbyrå</t>
        </is>
      </c>
      <c r="B36" s="49" t="inlineStr">
        <is>
          <t>Ranked independent</t>
        </is>
      </c>
      <c r="C36" s="114" t="n">
        <v>1</v>
      </c>
      <c r="D36" s="114" t="n">
        <v>1</v>
      </c>
      <c r="E36" s="114" t="n">
        <v>0</v>
      </c>
      <c r="F36" s="114" t="n">
        <v>2</v>
      </c>
      <c r="G36" s="49" t="inlineStr">
        <is>
          <t>Real estate</t>
        </is>
      </c>
      <c r="H36" s="49" t="n"/>
      <c r="I36" s="114" t="n">
        <v>5</v>
      </c>
      <c r="J36" s="114" t="n">
        <v>20</v>
      </c>
      <c r="K36" s="49" t="inlineStr">
        <is>
          <t>L500/Chambers</t>
        </is>
      </c>
      <c r="L36" s="114" t="n"/>
      <c r="M36" s="114" t="n"/>
    </row>
    <row r="37">
      <c r="A37" s="114" t="inlineStr">
        <is>
          <t>Skierfe</t>
        </is>
      </c>
      <c r="B37" s="49" t="inlineStr">
        <is>
          <t>Ranked independent</t>
        </is>
      </c>
      <c r="C37" s="114" t="n">
        <v>1</v>
      </c>
      <c r="D37" s="114" t="n">
        <v>1</v>
      </c>
      <c r="E37" s="114" t="n">
        <v>0</v>
      </c>
      <c r="F37" s="114" t="n">
        <v>3</v>
      </c>
      <c r="G37" s="49" t="inlineStr">
        <is>
          <t>Real estate</t>
        </is>
      </c>
      <c r="H37" s="49" t="n"/>
      <c r="I37" s="114" t="n"/>
      <c r="J37" s="114" t="n"/>
      <c r="K37" s="49" t="n"/>
      <c r="L37" s="114" t="n"/>
      <c r="M37" s="114" t="n"/>
    </row>
    <row r="38">
      <c r="A38" s="114" t="inlineStr">
        <is>
          <t>Ström</t>
        </is>
      </c>
      <c r="B38" s="49" t="inlineStr">
        <is>
          <t>Ranked independent</t>
        </is>
      </c>
      <c r="C38" s="114" t="n">
        <v>1</v>
      </c>
      <c r="D38" s="114" t="n">
        <v>1</v>
      </c>
      <c r="E38" s="114" t="n">
        <v>0</v>
      </c>
      <c r="F38" s="114" t="n">
        <v>2</v>
      </c>
      <c r="G38" s="49" t="inlineStr">
        <is>
          <t>IP</t>
        </is>
      </c>
      <c r="H38" s="49" t="n"/>
      <c r="I38" s="114" t="n">
        <v>5</v>
      </c>
      <c r="J38" s="114" t="n"/>
      <c r="K38" s="49" t="inlineStr">
        <is>
          <t>Chambers</t>
        </is>
      </c>
      <c r="L38" s="114" t="n"/>
      <c r="M38" s="114" t="n"/>
    </row>
    <row r="39">
      <c r="A39" s="114" t="inlineStr">
        <is>
          <t>Ulfsdotter</t>
        </is>
      </c>
      <c r="B39" s="49" t="inlineStr">
        <is>
          <t>Ranked independent</t>
        </is>
      </c>
      <c r="C39" s="114" t="n">
        <v>1</v>
      </c>
      <c r="D39" s="114" t="n">
        <v>1</v>
      </c>
      <c r="E39" s="114" t="n">
        <v>0</v>
      </c>
      <c r="F39" s="114" t="n">
        <v>2</v>
      </c>
      <c r="G39" s="49" t="inlineStr">
        <is>
          <t>Public procurement</t>
        </is>
      </c>
      <c r="H39" s="49" t="n"/>
      <c r="I39" s="114" t="n"/>
      <c r="J39" s="114" t="n"/>
      <c r="K39" s="49" t="n"/>
      <c r="L39" s="114" t="n"/>
      <c r="M39" s="114" t="n"/>
    </row>
    <row r="40">
      <c r="A40" s="114" t="inlineStr">
        <is>
          <t>Wallin &amp; Partners</t>
        </is>
      </c>
      <c r="B40" s="49" t="inlineStr">
        <is>
          <t>Ranked independent</t>
        </is>
      </c>
      <c r="C40" s="114" t="n">
        <v>1</v>
      </c>
      <c r="D40" s="114" t="n">
        <v>1</v>
      </c>
      <c r="E40" s="114" t="n">
        <v>0</v>
      </c>
      <c r="F40" s="114" t="n">
        <v>3</v>
      </c>
      <c r="G40" s="49" t="inlineStr">
        <is>
          <t>Dispute resolution</t>
        </is>
      </c>
      <c r="H40" s="49" t="n"/>
      <c r="I40" s="114" t="n"/>
      <c r="J40" s="114" t="n"/>
      <c r="K40" s="49" t="n"/>
      <c r="L40" s="114" t="n"/>
      <c r="M40" s="114" t="n"/>
    </row>
    <row r="41">
      <c r="A41" s="114" t="inlineStr">
        <is>
          <t>edpLaw</t>
        </is>
      </c>
      <c r="B41" s="49" t="inlineStr">
        <is>
          <t>Ranked independent</t>
        </is>
      </c>
      <c r="C41" s="114" t="n">
        <v>0</v>
      </c>
      <c r="D41" s="114" t="n">
        <v>2</v>
      </c>
      <c r="E41" s="114" t="n">
        <v>0</v>
      </c>
      <c r="F41" s="114" t="n">
        <v>2</v>
      </c>
      <c r="G41" s="49" t="inlineStr">
        <is>
          <t>Data protection</t>
        </is>
      </c>
      <c r="H41" s="49" t="n"/>
      <c r="I41" s="114" t="n"/>
      <c r="J41" s="114" t="n"/>
      <c r="K41" s="49" t="n"/>
      <c r="L41" s="114" t="n"/>
      <c r="M41" s="114" t="n"/>
    </row>
    <row r="42">
      <c r="A42" s="114" t="inlineStr">
        <is>
          <t>AWA</t>
        </is>
      </c>
      <c r="B42" s="49" t="inlineStr">
        <is>
          <t>Ranked independent</t>
        </is>
      </c>
      <c r="C42" s="114" t="n">
        <v>0</v>
      </c>
      <c r="D42" s="114" t="n">
        <v>1</v>
      </c>
      <c r="E42" s="114" t="n">
        <v>0</v>
      </c>
      <c r="F42" s="114" t="n">
        <v>2</v>
      </c>
      <c r="G42" s="49" t="inlineStr">
        <is>
          <t>IP</t>
        </is>
      </c>
      <c r="H42" s="49" t="n"/>
      <c r="I42" s="114" t="n"/>
      <c r="J42" s="114" t="n"/>
      <c r="K42" s="49" t="n"/>
      <c r="L42" s="114" t="n"/>
      <c r="M42" s="114" t="n"/>
    </row>
    <row r="43">
      <c r="A43" s="114" t="inlineStr">
        <is>
          <t>Advokatfirman Malmstedt Law AB</t>
        </is>
      </c>
      <c r="B43" s="49" t="inlineStr">
        <is>
          <t>Ranked independent</t>
        </is>
      </c>
      <c r="C43" s="114" t="n">
        <v>0</v>
      </c>
      <c r="D43" s="114" t="n">
        <v>1</v>
      </c>
      <c r="E43" s="114" t="n">
        <v>0</v>
      </c>
      <c r="F43" s="114" t="n">
        <v>3</v>
      </c>
      <c r="G43" s="49" t="inlineStr">
        <is>
          <t>IP</t>
        </is>
      </c>
      <c r="H43" s="49" t="n"/>
      <c r="I43" s="114" t="n"/>
      <c r="J43" s="114" t="n"/>
      <c r="K43" s="49" t="n"/>
      <c r="L43" s="114" t="n"/>
      <c r="M43" s="114" t="n"/>
    </row>
    <row r="44">
      <c r="A44" s="114" t="inlineStr">
        <is>
          <t>Affärsadvokaterna i Sverige AB</t>
        </is>
      </c>
      <c r="B44" s="49" t="inlineStr">
        <is>
          <t>Ranked independent</t>
        </is>
      </c>
      <c r="C44" s="114" t="n">
        <v>0</v>
      </c>
      <c r="D44" s="114" t="n">
        <v>1</v>
      </c>
      <c r="E44" s="114" t="n">
        <v>1</v>
      </c>
      <c r="F44" s="114" t="n">
        <v>4</v>
      </c>
      <c r="G44" s="49" t="inlineStr">
        <is>
          <t>IT / TMT</t>
        </is>
      </c>
      <c r="H44" s="49" t="inlineStr">
        <is>
          <t>Data protection</t>
        </is>
      </c>
      <c r="I44" s="114" t="n"/>
      <c r="J44" s="114" t="n"/>
      <c r="K44" s="49" t="n"/>
      <c r="L44" s="114" t="n"/>
      <c r="M44" s="114" t="n"/>
    </row>
    <row r="45">
      <c r="A45" s="114" t="inlineStr">
        <is>
          <t>Alrutz' Advokatbyrå</t>
        </is>
      </c>
      <c r="B45" s="49" t="inlineStr">
        <is>
          <t>Ranked independent</t>
        </is>
      </c>
      <c r="C45" s="114" t="n">
        <v>1</v>
      </c>
      <c r="D45" s="114" t="n">
        <v>0</v>
      </c>
      <c r="E45" s="114" t="n">
        <v>0</v>
      </c>
      <c r="F45" s="114" t="n">
        <v>3</v>
      </c>
      <c r="G45" s="49" t="inlineStr">
        <is>
          <t>Environment</t>
        </is>
      </c>
      <c r="H45" s="49" t="n"/>
      <c r="I45" s="114" t="n"/>
      <c r="J45" s="114" t="n"/>
      <c r="K45" s="49" t="n"/>
      <c r="L45" s="114" t="n"/>
      <c r="M45" s="114" t="n"/>
    </row>
    <row r="46">
      <c r="A46" s="114" t="inlineStr">
        <is>
          <t>Carler</t>
        </is>
      </c>
      <c r="B46" s="49" t="inlineStr">
        <is>
          <t>Ranked independent</t>
        </is>
      </c>
      <c r="C46" s="114" t="n">
        <v>1</v>
      </c>
      <c r="D46" s="114" t="n">
        <v>0</v>
      </c>
      <c r="E46" s="114" t="n">
        <v>0</v>
      </c>
      <c r="F46" s="114" t="n">
        <v>3</v>
      </c>
      <c r="G46" s="49" t="inlineStr">
        <is>
          <t>Insolvency trustees</t>
        </is>
      </c>
      <c r="H46" s="49" t="n"/>
      <c r="I46" s="114" t="n">
        <v>7</v>
      </c>
      <c r="J46" s="114" t="n"/>
      <c r="K46" s="49" t="inlineStr">
        <is>
          <t>Chambers</t>
        </is>
      </c>
      <c r="L46" s="114" t="n"/>
      <c r="M46" s="114" t="n"/>
    </row>
    <row r="47">
      <c r="A47" s="114" t="inlineStr">
        <is>
          <t>DE Advokatbyrå AB</t>
        </is>
      </c>
      <c r="B47" s="49" t="inlineStr">
        <is>
          <t>Ranked independent</t>
        </is>
      </c>
      <c r="C47" s="114" t="n">
        <v>0</v>
      </c>
      <c r="D47" s="114" t="n">
        <v>1</v>
      </c>
      <c r="E47" s="114" t="n">
        <v>0</v>
      </c>
      <c r="F47" s="114" t="n">
        <v>3</v>
      </c>
      <c r="G47" s="49" t="inlineStr">
        <is>
          <t>Construction</t>
        </is>
      </c>
      <c r="H47" s="49" t="n"/>
      <c r="I47" s="114" t="n"/>
      <c r="J47" s="114" t="n"/>
      <c r="K47" s="49" t="n"/>
      <c r="L47" s="114" t="n"/>
      <c r="M47" s="114" t="n"/>
    </row>
    <row r="48">
      <c r="A48" s="114" t="inlineStr">
        <is>
          <t>Edel</t>
        </is>
      </c>
      <c r="B48" s="49" t="inlineStr">
        <is>
          <t>Ranked independent</t>
        </is>
      </c>
      <c r="C48" s="114" t="n">
        <v>1</v>
      </c>
      <c r="D48" s="114" t="n">
        <v>0</v>
      </c>
      <c r="E48" s="114" t="n">
        <v>0</v>
      </c>
      <c r="F48" s="114" t="n">
        <v>4</v>
      </c>
      <c r="G48" s="49" t="inlineStr">
        <is>
          <t>Real estate</t>
        </is>
      </c>
      <c r="H48" s="49" t="n"/>
      <c r="I48" s="114" t="n"/>
      <c r="J48" s="114" t="n"/>
      <c r="K48" s="49" t="n"/>
      <c r="L48" s="114" t="n"/>
      <c r="M48" s="114" t="n"/>
    </row>
    <row r="49">
      <c r="A49" s="114" t="inlineStr">
        <is>
          <t>Forssander Sonander Advokat</t>
        </is>
      </c>
      <c r="B49" s="49" t="inlineStr">
        <is>
          <t>Ranked independent</t>
        </is>
      </c>
      <c r="C49" s="114" t="n">
        <v>0</v>
      </c>
      <c r="D49" s="114" t="n">
        <v>1</v>
      </c>
      <c r="E49" s="114" t="n">
        <v>0</v>
      </c>
      <c r="F49" s="114" t="n">
        <v>3</v>
      </c>
      <c r="G49" s="49" t="inlineStr">
        <is>
          <t>Employment</t>
        </is>
      </c>
      <c r="H49" s="49" t="n"/>
      <c r="I49" s="114" t="n"/>
      <c r="J49" s="114" t="n"/>
      <c r="K49" s="49" t="n"/>
      <c r="L49" s="114" t="n"/>
      <c r="M49" s="114" t="n"/>
    </row>
    <row r="50">
      <c r="A50" s="114" t="inlineStr">
        <is>
          <t>Merino</t>
        </is>
      </c>
      <c r="B50" s="49" t="inlineStr">
        <is>
          <t>Ranked independent</t>
        </is>
      </c>
      <c r="C50" s="114" t="n">
        <v>0</v>
      </c>
      <c r="D50" s="114" t="n">
        <v>1</v>
      </c>
      <c r="E50" s="114" t="n">
        <v>0</v>
      </c>
      <c r="F50" s="114" t="n">
        <v>4</v>
      </c>
      <c r="G50" s="49" t="inlineStr">
        <is>
          <t>Restructuring / insolvency</t>
        </is>
      </c>
      <c r="H50" s="49" t="n"/>
      <c r="I50" s="114" t="n"/>
      <c r="J50" s="114" t="n"/>
      <c r="K50" s="49" t="n"/>
      <c r="L50" s="114" t="n"/>
      <c r="M50" s="114" t="n"/>
    </row>
    <row r="51">
      <c r="A51" s="114" t="inlineStr">
        <is>
          <t>Wimert Lundgren Advokatbyrå</t>
        </is>
      </c>
      <c r="B51" s="49" t="inlineStr">
        <is>
          <t>Ranked independent</t>
        </is>
      </c>
      <c r="C51" s="114" t="n">
        <v>0</v>
      </c>
      <c r="D51" s="114" t="n">
        <v>1</v>
      </c>
      <c r="E51" s="114" t="n">
        <v>0</v>
      </c>
      <c r="F51" s="114" t="n">
        <v>4</v>
      </c>
      <c r="G51" s="49" t="inlineStr">
        <is>
          <t>Construction</t>
        </is>
      </c>
      <c r="H51" s="49" t="n"/>
      <c r="I51" s="114" t="n"/>
      <c r="J51" s="114" t="n"/>
      <c r="K51" s="49" t="n"/>
      <c r="L51" s="114" t="n"/>
      <c r="M51" s="114" t="n"/>
    </row>
    <row r="52">
      <c r="A52" s="114" t="inlineStr">
        <is>
          <t>Zacco</t>
        </is>
      </c>
      <c r="B52" s="49" t="inlineStr">
        <is>
          <t>Ranked independent</t>
        </is>
      </c>
      <c r="C52" s="114" t="n">
        <v>0</v>
      </c>
      <c r="D52" s="114" t="n">
        <v>1</v>
      </c>
      <c r="E52" s="114" t="n">
        <v>0</v>
      </c>
      <c r="F52" s="114" t="n">
        <v>3</v>
      </c>
      <c r="G52" s="49" t="inlineStr">
        <is>
          <t>IP</t>
        </is>
      </c>
      <c r="H52" s="49" t="n"/>
      <c r="I52" s="114" t="n"/>
      <c r="J52" s="114" t="n"/>
      <c r="K52" s="49" t="n"/>
      <c r="L52" s="114" t="n"/>
      <c r="M52" s="114" t="n"/>
    </row>
    <row r="53">
      <c r="A53" s="115" t="inlineStr">
        <is>
          <t>TM &amp; Partners</t>
        </is>
      </c>
      <c r="B53" s="69" t="inlineStr">
        <is>
          <t>Ranked independent: PE-owned (AGRD / Axcel)</t>
        </is>
      </c>
      <c r="C53" s="115" t="n">
        <v>5</v>
      </c>
      <c r="D53" s="115" t="n">
        <v>11</v>
      </c>
      <c r="E53" s="115" t="n">
        <v>0</v>
      </c>
      <c r="F53" s="115" t="n">
        <v>2</v>
      </c>
      <c r="G53" s="69" t="inlineStr">
        <is>
          <t>Employment</t>
        </is>
      </c>
      <c r="H53" s="69" t="n"/>
      <c r="I53" s="115" t="n">
        <v>18</v>
      </c>
      <c r="J53" s="115" t="n">
        <v>63</v>
      </c>
      <c r="K53" s="69" t="inlineStr">
        <is>
          <t>Firm website, Oct-26</t>
        </is>
      </c>
      <c r="L53" s="115" t="n">
        <v>188</v>
      </c>
      <c r="M53" s="115" t="n">
        <v>10.4</v>
      </c>
    </row>
    <row r="54">
      <c r="A54" s="115" t="inlineStr">
        <is>
          <t>Morris Law</t>
        </is>
      </c>
      <c r="B54" s="69" t="inlineStr">
        <is>
          <t>Ranked independent: PE-owned (AGRD / Axcel)</t>
        </is>
      </c>
      <c r="C54" s="115" t="n">
        <v>2</v>
      </c>
      <c r="D54" s="115" t="n">
        <v>9</v>
      </c>
      <c r="E54" s="115" t="n">
        <v>0</v>
      </c>
      <c r="F54" s="115" t="n">
        <v>2</v>
      </c>
      <c r="G54" s="69" t="inlineStr">
        <is>
          <t>Employment; Environment</t>
        </is>
      </c>
      <c r="H54" s="69" t="n"/>
      <c r="I54" s="115" t="n"/>
      <c r="J54" s="115" t="n">
        <v>56</v>
      </c>
      <c r="K54" s="69" t="inlineStr">
        <is>
          <t>L500</t>
        </is>
      </c>
      <c r="L54" s="115" t="n">
        <v>163</v>
      </c>
      <c r="M54" s="115" t="n"/>
    </row>
    <row r="55">
      <c r="A55" s="115" t="inlineStr">
        <is>
          <t>Born</t>
        </is>
      </c>
      <c r="B55" s="69" t="inlineStr">
        <is>
          <t>Ranked independent: PE-owned (AGRD / Axcel)</t>
        </is>
      </c>
      <c r="C55" s="115" t="n">
        <v>1</v>
      </c>
      <c r="D55" s="115" t="n">
        <v>1</v>
      </c>
      <c r="E55" s="115" t="n">
        <v>0</v>
      </c>
      <c r="F55" s="115" t="n">
        <v>3</v>
      </c>
      <c r="G55" s="69" t="inlineStr">
        <is>
          <t>Real estate</t>
        </is>
      </c>
      <c r="H55" s="69" t="n"/>
      <c r="I55" s="115" t="n">
        <v>9</v>
      </c>
      <c r="J55" s="115" t="n">
        <v>26</v>
      </c>
      <c r="K55" s="69" t="inlineStr">
        <is>
          <t>Firm website, Oct-26</t>
        </is>
      </c>
      <c r="L55" s="115" t="n">
        <v>86</v>
      </c>
      <c r="M55" s="115" t="n">
        <v>9.6</v>
      </c>
    </row>
    <row r="56">
      <c r="A56" s="115" t="inlineStr">
        <is>
          <t>Synch</t>
        </is>
      </c>
      <c r="B56" s="69" t="inlineStr">
        <is>
          <t>Ranked independent: PE-owned (AGRD / Axcel)</t>
        </is>
      </c>
      <c r="C56" s="115" t="n">
        <v>2</v>
      </c>
      <c r="D56" s="115" t="n">
        <v>7</v>
      </c>
      <c r="E56" s="115" t="n">
        <v>0</v>
      </c>
      <c r="F56" s="115" t="n">
        <v>2</v>
      </c>
      <c r="G56" s="69" t="inlineStr">
        <is>
          <t>IP</t>
        </is>
      </c>
      <c r="H56" s="69" t="n"/>
      <c r="I56" s="115" t="n">
        <v>9</v>
      </c>
      <c r="J56" s="115" t="n">
        <v>38</v>
      </c>
      <c r="K56" s="69" t="inlineStr">
        <is>
          <t>Firm website, Oct-26</t>
        </is>
      </c>
      <c r="L56" s="115" t="n">
        <v>73</v>
      </c>
      <c r="M56" s="115" t="n">
        <v>8.1</v>
      </c>
    </row>
    <row r="57">
      <c r="A57" s="115" t="inlineStr">
        <is>
          <t>Next Law</t>
        </is>
      </c>
      <c r="B57" s="69" t="inlineStr">
        <is>
          <t>Ranked independent: PE-owned (AGRD / Axcel)</t>
        </is>
      </c>
      <c r="C57" s="115" t="n">
        <v>1</v>
      </c>
      <c r="D57" s="115" t="n">
        <v>4</v>
      </c>
      <c r="E57" s="115" t="n">
        <v>0</v>
      </c>
      <c r="F57" s="115" t="n">
        <v>2</v>
      </c>
      <c r="G57" s="69" t="inlineStr">
        <is>
          <t>Shipping</t>
        </is>
      </c>
      <c r="H57" s="69" t="n"/>
      <c r="I57" s="115" t="n"/>
      <c r="J57" s="115" t="n"/>
      <c r="K57" s="69" t="n"/>
      <c r="L57" s="115" t="n">
        <v>58</v>
      </c>
      <c r="M57" s="115" t="n"/>
    </row>
    <row r="58">
      <c r="A58" s="115" t="inlineStr">
        <is>
          <t>Allié</t>
        </is>
      </c>
      <c r="B58" s="69" t="inlineStr">
        <is>
          <t>Ranked independent: PE-owned (AGRD / Axcel)</t>
        </is>
      </c>
      <c r="C58" s="115" t="n">
        <v>0</v>
      </c>
      <c r="D58" s="115" t="n">
        <v>1</v>
      </c>
      <c r="E58" s="115" t="n">
        <v>0</v>
      </c>
      <c r="F58" s="115" t="n">
        <v>4</v>
      </c>
      <c r="G58" s="69" t="inlineStr">
        <is>
          <t>Real estate</t>
        </is>
      </c>
      <c r="H58" s="69" t="n"/>
      <c r="I58" s="115" t="n"/>
      <c r="J58" s="115" t="n"/>
      <c r="K58" s="69" t="n"/>
      <c r="L58" s="115" t="n"/>
      <c r="M58" s="115" t="n"/>
    </row>
    <row r="59">
      <c r="A59" s="116" t="inlineStr">
        <is>
          <t>Foyen</t>
        </is>
      </c>
      <c r="B59" s="71" t="inlineStr">
        <is>
          <t>Borderline: Mid-size full-service</t>
        </is>
      </c>
      <c r="C59" s="116" t="n">
        <v>0</v>
      </c>
      <c r="D59" s="116" t="n">
        <v>6</v>
      </c>
      <c r="E59" s="116" t="n">
        <v>0</v>
      </c>
      <c r="F59" s="116" t="n">
        <v>2</v>
      </c>
      <c r="G59" s="71" t="inlineStr">
        <is>
          <t>Construction; Energy; Environment</t>
        </is>
      </c>
      <c r="H59" s="71" t="n"/>
      <c r="I59" s="116" t="n">
        <v>23</v>
      </c>
      <c r="J59" s="116" t="n">
        <v>73</v>
      </c>
      <c r="K59" s="71" t="inlineStr">
        <is>
          <t>Firm website, Oct-26</t>
        </is>
      </c>
      <c r="L59" s="116" t="n">
        <v>277</v>
      </c>
      <c r="M59" s="116" t="n">
        <v>12</v>
      </c>
    </row>
    <row r="60">
      <c r="A60" s="116" t="inlineStr">
        <is>
          <t>Hammarskiöld</t>
        </is>
      </c>
      <c r="B60" s="71" t="inlineStr">
        <is>
          <t>Borderline: Mid-size full-service</t>
        </is>
      </c>
      <c r="C60" s="116" t="n">
        <v>4</v>
      </c>
      <c r="D60" s="116" t="n">
        <v>10</v>
      </c>
      <c r="E60" s="116" t="n">
        <v>0</v>
      </c>
      <c r="F60" s="116" t="n">
        <v>2</v>
      </c>
      <c r="G60" s="71" t="inlineStr">
        <is>
          <t>Banking &amp; finance; Healthcare / life sciences</t>
        </is>
      </c>
      <c r="H60" s="71" t="n"/>
      <c r="I60" s="116" t="n"/>
      <c r="J60" s="116" t="n">
        <v>47</v>
      </c>
      <c r="K60" s="71" t="inlineStr">
        <is>
          <t>Chambers</t>
        </is>
      </c>
      <c r="L60" s="116" t="n">
        <v>158</v>
      </c>
      <c r="M60" s="116" t="n"/>
    </row>
    <row r="61">
      <c r="A61" s="116" t="inlineStr">
        <is>
          <t>Wigge &amp; Partners</t>
        </is>
      </c>
      <c r="B61" s="71" t="inlineStr">
        <is>
          <t>Borderline: Mid-size corporate</t>
        </is>
      </c>
      <c r="C61" s="116" t="n">
        <v>5</v>
      </c>
      <c r="D61" s="116" t="n">
        <v>3</v>
      </c>
      <c r="E61" s="116" t="n">
        <v>0</v>
      </c>
      <c r="F61" s="116" t="n">
        <v>1</v>
      </c>
      <c r="G61" s="71" t="inlineStr">
        <is>
          <t>Real estate</t>
        </is>
      </c>
      <c r="H61" s="71" t="n"/>
      <c r="I61" s="116" t="n">
        <v>11</v>
      </c>
      <c r="J61" s="116" t="n">
        <v>40</v>
      </c>
      <c r="K61" s="71" t="inlineStr">
        <is>
          <t>Firm website, Oct-26</t>
        </is>
      </c>
      <c r="L61" s="116" t="n">
        <v>146</v>
      </c>
      <c r="M61" s="116" t="n">
        <v>13.3</v>
      </c>
    </row>
    <row r="62">
      <c r="A62" s="116" t="inlineStr">
        <is>
          <t>Fylgia</t>
        </is>
      </c>
      <c r="B62" s="71" t="inlineStr">
        <is>
          <t>Borderline: Mid-size full-service</t>
        </is>
      </c>
      <c r="C62" s="116" t="n">
        <v>1</v>
      </c>
      <c r="D62" s="116" t="n">
        <v>6</v>
      </c>
      <c r="E62" s="116" t="n">
        <v>0</v>
      </c>
      <c r="F62" s="116" t="n">
        <v>2</v>
      </c>
      <c r="G62" s="71" t="inlineStr">
        <is>
          <t>Public procurement; Restructuring / insolvency</t>
        </is>
      </c>
      <c r="H62" s="71" t="n"/>
      <c r="I62" s="116" t="n">
        <v>21</v>
      </c>
      <c r="J62" s="116" t="n">
        <v>35</v>
      </c>
      <c r="K62" s="71" t="inlineStr">
        <is>
          <t>Firm website, Oct-26</t>
        </is>
      </c>
      <c r="L62" s="116" t="n">
        <v>131</v>
      </c>
      <c r="M62" s="116" t="n">
        <v>6.2</v>
      </c>
    </row>
    <row r="63">
      <c r="A63" s="116" t="inlineStr">
        <is>
          <t>Kanter</t>
        </is>
      </c>
      <c r="B63" s="71" t="inlineStr">
        <is>
          <t>Borderline: Mid-size corporate</t>
        </is>
      </c>
      <c r="C63" s="116" t="n">
        <v>3</v>
      </c>
      <c r="D63" s="116" t="n">
        <v>0</v>
      </c>
      <c r="E63" s="116" t="n">
        <v>0</v>
      </c>
      <c r="F63" s="116" t="n">
        <v>4</v>
      </c>
      <c r="G63" s="71" t="inlineStr">
        <is>
          <t>IP; Private equity</t>
        </is>
      </c>
      <c r="H63" s="71" t="n"/>
      <c r="I63" s="116" t="n">
        <v>13</v>
      </c>
      <c r="J63" s="116" t="n">
        <v>39</v>
      </c>
      <c r="K63" s="71" t="inlineStr">
        <is>
          <t>Chambers (IFLR1000: 10 partners / Realtid: 21 lawyers; conflicting)</t>
        </is>
      </c>
      <c r="L63" s="116" t="n"/>
      <c r="M63" s="116" t="n"/>
    </row>
    <row r="64">
      <c r="A64" s="117" t="inlineStr">
        <is>
          <t>HC Advokat AB</t>
        </is>
      </c>
      <c r="B64" s="73" t="inlineStr">
        <is>
          <t>Legal 500 firm to watch only</t>
        </is>
      </c>
      <c r="C64" s="117" t="n">
        <v>0</v>
      </c>
      <c r="D64" s="117" t="n">
        <v>0</v>
      </c>
      <c r="E64" s="117" t="n">
        <v>1</v>
      </c>
      <c r="F64" s="117" t="n"/>
      <c r="G64" s="73" t="n"/>
      <c r="H64" s="73" t="inlineStr">
        <is>
          <t>Construction</t>
        </is>
      </c>
      <c r="I64" s="117" t="n"/>
      <c r="J64" s="117" t="n"/>
      <c r="K64" s="73" t="n"/>
      <c r="L64" s="117" t="n"/>
      <c r="M64" s="117" t="n"/>
    </row>
    <row r="65">
      <c r="A65" s="117" t="inlineStr">
        <is>
          <t>Pogona Advokatbyrå AB</t>
        </is>
      </c>
      <c r="B65" s="73" t="inlineStr">
        <is>
          <t>Legal 500 firm to watch only</t>
        </is>
      </c>
      <c r="C65" s="117" t="n">
        <v>0</v>
      </c>
      <c r="D65" s="117" t="n">
        <v>0</v>
      </c>
      <c r="E65" s="117" t="n">
        <v>1</v>
      </c>
      <c r="F65" s="117" t="n"/>
      <c r="G65" s="73" t="n"/>
      <c r="H65" s="73" t="inlineStr">
        <is>
          <t>Environment</t>
        </is>
      </c>
      <c r="I65" s="117" t="n"/>
      <c r="J65" s="117" t="n"/>
      <c r="K65" s="73" t="n"/>
      <c r="L65" s="117" t="n"/>
      <c r="M65" s="117" t="n"/>
    </row>
    <row r="67">
      <c r="A67" s="45" t="inlineStr">
        <is>
          <t>Best band/tier: 1 = top (Chambers band or Legal 500 tier, whichever is better). Blue = full-service Swedish firms; yellow = PE-owned (AGRD, Axcel-backed roll-up formed Aug-2025); green = Legal 500 firm to watch only; grey = borderline mid-size firms. Note: Wigge and Moll Wendén have since joined AGRD (2026). Revenue = Affärsvärlden FY2024 (revised table, 3 Oct 2025).</t>
        </is>
      </c>
    </row>
    <row r="68">
      <c r="A68"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t>
        </is>
      </c>
    </row>
  </sheetData>
  <mergeCells count="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8" customWidth="1" style="112" min="2" max="2"/>
    <col width="8" customWidth="1" style="112" min="3" max="3"/>
    <col width="8" customWidth="1" style="112" min="4" max="4"/>
    <col width="6.5" customWidth="1" style="112" min="5" max="5"/>
    <col width="6.5" customWidth="1" style="112" min="6" max="6"/>
    <col width="6.5" customWidth="1" style="112" min="7" max="7"/>
    <col width="6.5" customWidth="1" style="112" min="8" max="8"/>
    <col width="6.5" customWidth="1" style="112" min="9" max="9"/>
    <col width="6.5" customWidth="1" style="112" min="10" max="10"/>
    <col width="6.5" customWidth="1" style="112" min="11" max="11"/>
    <col width="6.5" customWidth="1" style="112" min="12" max="12"/>
    <col width="6.5" customWidth="1" style="112" min="13" max="13"/>
    <col width="6.5" customWidth="1" style="112" min="14" max="14"/>
    <col width="6.5" customWidth="1" style="112" min="15" max="15"/>
    <col width="6.5" customWidth="1" style="112" min="16" max="16"/>
    <col width="6.5" customWidth="1" style="112" min="17" max="17"/>
    <col width="6.5" customWidth="1" style="112" min="18" max="18"/>
    <col width="6.5" customWidth="1" style="112" min="19" max="19"/>
    <col width="6.5" customWidth="1" style="112" min="20" max="20"/>
    <col width="6.5" customWidth="1" style="112" min="21" max="21"/>
    <col width="6.5" customWidth="1" style="112" min="22" max="22"/>
    <col width="6.5" customWidth="1" style="112" min="23" max="23"/>
    <col width="6.5" customWidth="1" style="112" min="24" max="24"/>
    <col width="6.5" customWidth="1" style="112" min="25" max="25"/>
    <col width="6.5" customWidth="1" style="112" min="26" max="26"/>
    <col width="6.5" customWidth="1" style="112" min="27" max="27"/>
    <col width="6.5" customWidth="1" style="112" min="28" max="28"/>
    <col width="6.5" customWidth="1" style="112" min="29" max="29"/>
    <col width="6.5" customWidth="1" style="112" min="30" max="30"/>
    <col width="6.5" customWidth="1" style="112" min="31" max="31"/>
    <col width="6.5" customWidth="1" style="112" min="32" max="32"/>
    <col width="6.5" customWidth="1" style="112" min="33" max="33"/>
    <col width="6.5" customWidth="1" style="112" min="34" max="34"/>
    <col width="6.5" customWidth="1" style="112" min="35" max="35"/>
    <col width="6.5" customWidth="1" style="112" min="36" max="36"/>
    <col width="6.5" customWidth="1" style="112" min="37" max="37"/>
    <col width="6.5" customWidth="1" style="112" min="38" max="38"/>
    <col width="6.5" customWidth="1" style="112" min="39" max="39"/>
    <col width="6.5" customWidth="1" style="112" min="40" max="40"/>
    <col width="6.5" customWidth="1" style="112" min="41" max="41"/>
    <col width="6.5" customWidth="1" style="112" min="42" max="42"/>
    <col width="6.5" customWidth="1" style="112" min="43" max="43"/>
    <col width="6.5" customWidth="1" style="112" min="44" max="44"/>
    <col width="6.5" customWidth="1" style="112" min="45" max="45"/>
    <col width="6.5" customWidth="1" style="112" min="46" max="46"/>
    <col width="6.5" customWidth="1" style="112" min="47" max="47"/>
    <col width="6.5" customWidth="1" style="112" min="48" max="48"/>
    <col width="6.5" customWidth="1" style="112" min="49" max="49"/>
    <col width="6.5" customWidth="1" style="112" min="50" max="50"/>
    <col width="6.5" customWidth="1" style="112" min="51" max="51"/>
    <col width="6.5" customWidth="1" style="112" min="52" max="52"/>
    <col width="6.5" customWidth="1" style="112" min="53" max="53"/>
    <col width="6.5" customWidth="1" style="112" min="54" max="54"/>
  </cols>
  <sheetData>
    <row r="1">
      <c r="A1" s="1" t="inlineStr">
        <is>
          <t>Section B. Chambers &amp; Legal 500 practice rankings: Sweden</t>
        </is>
      </c>
    </row>
    <row r="2" ht="45" customHeight="1" s="112">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12">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12" min="1" max="1"/>
    <col width="11" customWidth="1" style="112" min="2" max="2"/>
    <col width="14" customWidth="1" style="112" min="3" max="3"/>
    <col width="24" customWidth="1" style="112" min="4" max="4"/>
    <col width="40" customWidth="1" style="112"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4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style="112" min="1" max="1"/>
    <col width="26" customWidth="1" style="112" min="2" max="2"/>
    <col width="11" customWidth="1" style="112" min="3" max="3"/>
    <col width="10" customWidth="1" style="112" min="4" max="4"/>
    <col width="9" customWidth="1" style="112" min="5" max="5"/>
    <col width="10" customWidth="1" style="112" min="6" max="6"/>
    <col width="26" customWidth="1" style="112" min="7" max="7"/>
    <col width="9" customWidth="1" style="112" min="8" max="8"/>
    <col width="10" customWidth="1" style="112" min="9" max="9"/>
    <col width="10" customWidth="1" style="112" min="10" max="10"/>
    <col width="30" customWidth="1" style="112" min="11" max="11"/>
    <col width="10" customWidth="1" style="112" min="12" max="12"/>
    <col width="10" customWidth="1" style="112" min="13" max="13"/>
    <col width="10" customWidth="1" style="112" min="14" max="14"/>
    <col width="12" customWidth="1" style="112" min="15" max="15"/>
    <col width="12" customWidth="1" style="112" min="16" max="16"/>
    <col width="10" customWidth="1" style="112" min="17" max="17"/>
    <col width="40" customWidth="1" style="112" min="18" max="18"/>
  </cols>
  <sheetData>
    <row r="1">
      <c r="A1" s="1" t="inlineStr">
        <is>
          <t>Section C. Benchmarking: top 30 Swedish business law firms (replaces former A. Firms tab)</t>
        </is>
      </c>
    </row>
    <row r="2" ht="45" customHeight="1" s="112">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12">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0">
      <c r="B40" t="inlineStr">
        <is>
          <t>Top-5 share of Afv panel total</t>
        </is>
      </c>
      <c r="C40" s="59">
        <f>SUM(C5:C9)/15455</f>
        <v/>
      </c>
    </row>
    <row r="41">
      <c r="B41" t="inlineStr">
        <is>
          <t>Top-10 share of Afv panel total</t>
        </is>
      </c>
      <c r="C41" s="59">
        <f>SUM(C5:C14)/15455</f>
        <v/>
      </c>
    </row>
    <row r="43">
      <c r="A43" s="45" t="inlineStr">
        <is>
          <t>Units: SEK m; ratios in SEK m per head. Revenue per partner/employee/lawyer uses "Latest revenue" (column F).</t>
        </is>
      </c>
    </row>
    <row r="44">
      <c r="A44"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5">
      <c r="A45"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4"/>
  <sheetViews>
    <sheetView workbookViewId="0">
      <selection activeCell="A1" sqref="A1"/>
    </sheetView>
  </sheetViews>
  <sheetFormatPr baseColWidth="8" defaultRowHeight="15"/>
  <cols>
    <col width="26" customWidth="1" style="112" min="1" max="1"/>
    <col width="20" customWidth="1" style="112" min="2" max="2"/>
    <col width="28" customWidth="1" style="112" min="3" max="3"/>
    <col width="10" customWidth="1" style="112" min="4" max="4"/>
    <col width="10" customWidth="1" style="112" min="5" max="5"/>
    <col width="12" customWidth="1" style="112" min="6" max="6"/>
    <col width="12" customWidth="1" style="112" min="7" max="7"/>
    <col width="10" customWidth="1" style="112" min="8" max="8"/>
    <col width="10" customWidth="1" style="112" min="9" max="9"/>
    <col width="10" customWidth="1" style="112" min="10" max="10"/>
    <col width="10" customWidth="1" style="112" min="11" max="11"/>
    <col width="10" customWidth="1" style="112" min="12" max="12"/>
    <col width="10" customWidth="1" style="112" min="13" max="13"/>
    <col width="10" customWidth="1" style="112" min="14" max="14"/>
    <col width="10" customWidth="1" style="112" min="15" max="15"/>
    <col width="40" customWidth="1" style="112" min="16" max="16"/>
    <col width="40" customWidth="1" style="112" min="17" max="17"/>
  </cols>
  <sheetData>
    <row r="1">
      <c r="A1" s="1" t="inlineStr">
        <is>
          <t>Section D. Rate card comparison: Swedish business law firms (SEK per hour, excl. VAT)</t>
        </is>
      </c>
    </row>
    <row r="2" ht="45" customHeight="1" s="112">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vs realised (actual billed) rates. Nordic business-law data only, 2023 onwards.</t>
        </is>
      </c>
    </row>
    <row r="4">
      <c r="A4" s="47" t="inlineStr">
        <is>
          <t>D1. Rate cards by level (list prices)</t>
        </is>
      </c>
    </row>
    <row r="5" ht="42" customHeight="1" s="112">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Level definitions in source</t>
        </is>
      </c>
      <c r="Q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row>
    <row r="7" ht="60" customHeight="1" s="112">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49" t="inlineStr">
        <is>
          <t>Junior Assoc 0-24 months; Associates 25-59 months; Senior Assoc / PDL / Specialist Counsel 60+ months; Partners / Senior Advisor</t>
        </is>
      </c>
      <c r="Q7" s="49" t="inlineStr">
        <is>
          <t>Counsel band (4,550-8,000) overlaps partner band. Date to be confirmed.</t>
        </is>
      </c>
    </row>
    <row r="8" ht="60" customHeight="1" s="112">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49" t="inlineStr">
        <is>
          <t>Partners; Senior Associates; Associates; Junior Associates; Paralegals</t>
        </is>
      </c>
      <c r="Q8" s="49" t="inlineStr">
        <is>
          <t>Time-incurred basis; open to alternative fee arrangements per project.</t>
        </is>
      </c>
    </row>
    <row r="9" ht="60" customHeight="1" s="112">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49" t="inlineStr">
        <is>
          <t>Partner; Associate (single rates)</t>
        </is>
      </c>
      <c r="Q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Nordic rate data points, 2023 onwards (realised rates and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t>
        </is>
      </c>
      <c r="H29" s="52" t="inlineStr">
        <is>
          <t>Source type</t>
        </is>
      </c>
      <c r="I29" s="52" t="inlineStr">
        <is>
          <t>Relevance</t>
        </is>
      </c>
      <c r="J29" s="52" t="inlineStr">
        <is>
          <t>Source</t>
        </is>
      </c>
    </row>
    <row r="30">
      <c r="A30" s="49" t="inlineStr">
        <is>
          <t>Mannheimer Swartling</t>
        </is>
      </c>
      <c r="B30" s="49" t="inlineStr">
        <is>
          <t>Nov-2024 to Mar-2025</t>
        </is>
      </c>
      <c r="C30" s="49" t="inlineStr">
        <is>
          <t>Average across team (~6,000 h, SEK 32m)</t>
        </is>
      </c>
      <c r="D30" s="49" t="inlineStr">
        <is>
          <t>Blended (realised)</t>
        </is>
      </c>
      <c r="E30" s="87" t="n">
        <v>4000</v>
      </c>
      <c r="F30" s="87" t="n">
        <v>4000</v>
      </c>
      <c r="G30" s="49" t="inlineStr">
        <is>
          <t>Northvolt restructuring (Swedish counsel in US Chapter 11); lowest average of all advisers</t>
        </is>
      </c>
      <c r="H30" s="49" t="inlineStr">
        <is>
          <t>Court-approved fee filing (press)</t>
        </is>
      </c>
      <c r="I30" s="49" t="inlineStr">
        <is>
          <t>Only published realised blended rate for a top Nordic firm: ~4,000 vs list partner 6,000-10,000</t>
        </is>
      </c>
      <c r="J30" s="49" t="inlineStr">
        <is>
          <t>https://www.affarsvarlden.se/artikel/sa-dyrt-blev-northvolts-raddningsforsok-i-usa-debiteras-47-000-timmar</t>
        </is>
      </c>
    </row>
    <row r="31">
      <c r="A31" s="49" t="inlineStr">
        <is>
          <t>Top-tier firms (Vinge, MSA, Roschier)</t>
        </is>
      </c>
      <c r="B31" s="49" t="inlineStr">
        <is>
          <t>2026</t>
        </is>
      </c>
      <c r="C31" s="49" t="inlineStr">
        <is>
          <t>Partner</t>
        </is>
      </c>
      <c r="D31" s="49" t="inlineStr">
        <is>
          <t>Partner</t>
        </is>
      </c>
      <c r="E31" s="87" t="n">
        <v>7000</v>
      </c>
      <c r="F31" s="87" t="n">
        <v>9000</v>
      </c>
      <c r="G31" s="49" t="inlineStr">
        <is>
          <t>Olle Flygt (ex-Vinge/MSA partner): partner bills 7-9k with 3-5 associates beneath</t>
        </is>
      </c>
      <c r="H31" s="49" t="inlineStr">
        <is>
          <t>Market commentary</t>
        </is>
      </c>
      <c r="I31" s="49" t="inlineStr">
        <is>
          <t>Current top-tier partner rate level</t>
        </is>
      </c>
      <c r="J31" s="49" t="inlineStr">
        <is>
          <t>https://www.realtid.se/perfectweekend/affarsjuridikens-karna-det-har-blivit-for-mycket-fokus-pa-pengar/</t>
        </is>
      </c>
    </row>
    <row r="32">
      <c r="A32" s="49" t="inlineStr">
        <is>
          <t>Top-tier firms (Vinge, MSA, Roschier)</t>
        </is>
      </c>
      <c r="B32" s="49" t="inlineStr">
        <is>
          <t>2026</t>
        </is>
      </c>
      <c r="C32" s="49" t="inlineStr">
        <is>
          <t>Biträdande jurist (associate)</t>
        </is>
      </c>
      <c r="D32" s="49" t="inlineStr">
        <is>
          <t>Associate</t>
        </is>
      </c>
      <c r="E32" s="87" t="n">
        <v>3000</v>
      </c>
      <c r="F32" s="87" t="n">
        <v>3000</v>
      </c>
      <c r="G32" s="49" t="inlineStr">
        <is>
          <t>As above: associates bill ~3,000 and cost at most a third of that</t>
        </is>
      </c>
      <c r="H32" s="49" t="inlineStr">
        <is>
          <t>Market commentary</t>
        </is>
      </c>
      <c r="I32" s="49" t="inlineStr">
        <is>
          <t>Associate rate and margin (leverage)</t>
        </is>
      </c>
      <c r="J32" s="49" t="inlineStr">
        <is>
          <t>https://www.realtid.se/perfectweekend/affarsjuridikens-karna-det-har-blivit-for-mycket-fokus-pa-pengar/</t>
        </is>
      </c>
    </row>
    <row r="33">
      <c r="A33" s="49" t="inlineStr">
        <is>
          <t>Mannheimer Swartling</t>
        </is>
      </c>
      <c r="B33" s="49" t="inlineStr">
        <is>
          <t>Final years before 2025 (not specified)</t>
        </is>
      </c>
      <c r="C33" s="49" t="inlineStr">
        <is>
          <t>Partner (Olle Flygt)</t>
        </is>
      </c>
      <c r="D33" s="49" t="inlineStr">
        <is>
          <t>Partner</t>
        </is>
      </c>
      <c r="E33" s="87" t="n">
        <v>7000</v>
      </c>
      <c r="F33" s="87" t="n">
        <v>8000</v>
      </c>
      <c r="G33" s="49" t="inlineStr">
        <is>
          <t>Own billing rate</t>
        </is>
      </c>
      <c r="H33" s="49" t="inlineStr">
        <is>
          <t>Market commentary</t>
        </is>
      </c>
      <c r="I33" s="49" t="inlineStr">
        <is>
          <t>Individual partner rate at MSA</t>
        </is>
      </c>
      <c r="J33" s="49" t="inlineStr">
        <is>
          <t>https://www.realtid.se/juridik/affarsjuridiken-vaxer-men-sprickorna-syns/</t>
        </is>
      </c>
    </row>
    <row r="34">
      <c r="A34" s="49" t="inlineStr">
        <is>
          <t>Law firm (unnamed)</t>
        </is>
      </c>
      <c r="B34" s="49" t="inlineStr">
        <is>
          <t>Apr-2026</t>
        </is>
      </c>
      <c r="C34" s="49" t="inlineStr">
        <is>
          <t>Hourly rate held reasonable</t>
        </is>
      </c>
      <c r="D34" s="49" t="inlineStr">
        <is>
          <t>Blended</t>
        </is>
      </c>
      <c r="E34" s="87" t="n">
        <v>4000</v>
      </c>
      <c r="F34" s="87" t="n">
        <v>4000</v>
      </c>
      <c r="G34" s="49" t="inlineStr">
        <is>
          <t>Luleå tingsrätt cost ruling</t>
        </is>
      </c>
      <c r="H34" s="49" t="inlineStr">
        <is>
          <t>Court ruling (press)</t>
        </is>
      </c>
      <c r="I34" s="49" t="inlineStr">
        <is>
          <t>Courts accept ~4,000/h as reasonable for business-law counsel</t>
        </is>
      </c>
      <c r="J34" s="49" t="inlineStr">
        <is>
          <t>https://www.realtid.se/juridik/ratten-om-timarvoden-4-000-kronor-i-timmen-ar-ok/</t>
        </is>
      </c>
    </row>
    <row r="35">
      <c r="A35" s="45" t="inlineStr">
        <is>
          <t>Removed: pre-2023 invoices and court claims (2007-2017), US firms, public-sector and legal-aid data (not relevant to a Nordic business-law investment).</t>
        </is>
      </c>
    </row>
    <row r="37">
      <c r="A37" s="47" t="inlineStr">
        <is>
          <t>D4. Benchmarks (Nordic business law)</t>
        </is>
      </c>
    </row>
    <row r="38">
      <c r="A38" s="52" t="inlineStr">
        <is>
          <t>Benchmark</t>
        </is>
      </c>
      <c r="B38" s="52" t="inlineStr">
        <is>
          <t>Period</t>
        </is>
      </c>
      <c r="C38" s="52" t="inlineStr">
        <is>
          <t>Rate</t>
        </is>
      </c>
      <c r="D38" s="52" t="inlineStr">
        <is>
          <t>Currency</t>
        </is>
      </c>
      <c r="E38" s="52" t="inlineStr">
        <is>
          <t>Notes</t>
        </is>
      </c>
      <c r="F38" s="52" t="inlineStr">
        <is>
          <t>Source</t>
        </is>
      </c>
    </row>
    <row r="39">
      <c r="A39" s="49" t="inlineStr">
        <is>
          <t>Affärsvärlden fee income per lawyer (panel)</t>
        </is>
      </c>
      <c r="B39" s="49" t="inlineStr">
        <is>
          <t>2024</t>
        </is>
      </c>
      <c r="C39" s="87" t="n">
        <v>4130000</v>
      </c>
      <c r="D39" s="49" t="inlineStr">
        <is>
          <t>SEK p.a.</t>
        </is>
      </c>
      <c r="E39" s="49" t="inlineStr">
        <is>
          <t>Implies ~SEK 2,580/h at 1,600 billable hours or ~2,950/h at 1,400 (illustrative)</t>
        </is>
      </c>
      <c r="F39" s="49" t="inlineStr">
        <is>
          <t>https://www.realtid.se/affarer/154-miljarder-sa-klarade-affarsjuristerna-tullchocken/</t>
        </is>
      </c>
    </row>
    <row r="40">
      <c r="A40" s="49" t="inlineStr">
        <is>
          <t>Affärsvärlden fee income per lawyer (panel)</t>
        </is>
      </c>
      <c r="B40" s="49" t="inlineStr">
        <is>
          <t>2023</t>
        </is>
      </c>
      <c r="C40" s="87" t="n">
        <v>4220000</v>
      </c>
      <c r="D40" s="49" t="inlineStr">
        <is>
          <t>SEK p.a.</t>
        </is>
      </c>
      <c r="E40" s="49" t="inlineStr"/>
      <c r="F40" s="49" t="inlineStr">
        <is>
          <t>https://www.affarsvarlden.se/artikel/affarsjuristerna-om-trenden-pe-bolagen-kommer-vara-motorn</t>
        </is>
      </c>
    </row>
    <row r="41">
      <c r="A41" s="49" t="inlineStr">
        <is>
          <t>Norway: commercial litigation rates</t>
        </is>
      </c>
      <c r="B41" s="49" t="inlineStr">
        <is>
          <t>2026</t>
        </is>
      </c>
      <c r="C41" s="87" t="n">
        <v>3000</v>
      </c>
      <c r="D41" s="49" t="inlineStr">
        <is>
          <t>NOK/h (earlier level)</t>
        </is>
      </c>
      <c r="E41" s="49" t="inlineStr">
        <is>
          <t>Norwegian Government Attorney: rates of ~NOK 3,000/h have "doubled in a short time"</t>
        </is>
      </c>
      <c r="F41" s="49" t="inlineStr">
        <is>
          <t>https://www.realtid.se/juridik/regeringsadvokaten-slar-larm-advokatkostnaderna-skenar/</t>
        </is>
      </c>
    </row>
    <row r="43">
      <c r="A43" s="45" t="inlineStr">
        <is>
          <t>Gaps: no published rate cards found for Vinge, White &amp; Case, Setterwalls, Lindahl, Gernandt &amp; Danielsson, CMS Wistrand, Cirio, Baker McKenzie, Snellman, Foyen, Glimstedt, Eversheds, Fylgia, Hammarskiöld, Magnusson, Kahn Pedersen, Wigge, Kastell, Westerberg or TM &amp; Partners.</t>
        </is>
      </c>
    </row>
    <row r="44">
      <c r="A44" s="45" t="inlineStr">
        <is>
          <t>Routes to fill: client invoices (e.g. via Axo, requested); expert calls with Nordic GCs; confirm whether MAQS sell-side rates are list or realised.</t>
        </is>
      </c>
    </row>
  </sheetData>
  <mergeCells count="14">
    <mergeCell ref="A5:A6"/>
    <mergeCell ref="O5:O6"/>
    <mergeCell ref="N5:N6"/>
    <mergeCell ref="P5:P6"/>
    <mergeCell ref="Q5:Q6"/>
    <mergeCell ref="J5:K5"/>
    <mergeCell ref="L5:L6"/>
    <mergeCell ref="F5:G5"/>
    <mergeCell ref="D5:E5"/>
    <mergeCell ref="A2:Q2"/>
    <mergeCell ref="H5:I5"/>
    <mergeCell ref="C5:C6"/>
    <mergeCell ref="B5:B6"/>
    <mergeCell ref="M5: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22" customWidth="1" style="112" min="2" max="2"/>
    <col width="12" customWidth="1" style="112" min="3" max="3"/>
    <col width="10" customWidth="1" style="112" min="4" max="4"/>
    <col width="11" customWidth="1" style="112" min="5" max="5"/>
    <col width="11" customWidth="1" style="112" min="6" max="6"/>
    <col width="11" customWidth="1" style="112" min="7" max="7"/>
    <col width="9" customWidth="1" style="112" min="8" max="8"/>
    <col width="22" customWidth="1" style="112" min="9" max="9"/>
    <col width="11" customWidth="1" style="112" min="10" max="10"/>
    <col width="11" customWidth="1" style="112" min="11" max="11"/>
    <col width="13" customWidth="1" style="112" min="12" max="12"/>
    <col width="10" customWidth="1" style="112" min="13" max="13"/>
    <col width="11" customWidth="1" style="112" min="14" max="14"/>
    <col width="10" customWidth="1" style="112" min="15" max="15"/>
    <col width="50" customWidth="1" style="112" min="16" max="16"/>
  </cols>
  <sheetData>
    <row r="1">
      <c r="A1" s="1" t="inlineStr">
        <is>
          <t>Section E. Partner compensation: profit pool per partner from filed annual reports</t>
        </is>
      </c>
    </row>
    <row r="2" ht="75" customHeight="1" s="112">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12">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(recent "best-paid lawyer" lists cover public defenders' state fees, not business law).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12" min="1" max="1"/>
    <col width="22" customWidth="1" style="112" min="2" max="2"/>
    <col width="26" customWidth="1" style="112" min="3" max="3"/>
    <col width="28" customWidth="1" style="112" min="4" max="4"/>
    <col width="14" customWidth="1" style="112" min="5" max="5"/>
    <col width="22" customWidth="1" style="112" min="6" max="6"/>
    <col width="26" customWidth="1" style="112" min="7" max="7"/>
    <col width="40" customWidth="1" style="112" min="8" max="8"/>
    <col width="50" customWidth="1" style="112" min="9" max="9"/>
  </cols>
  <sheetData>
    <row r="1">
      <c r="A1" s="1" t="inlineStr">
        <is>
          <t>Section F. Consolidation and team lifts: Swedish business law, Jan 2020 - Oct 2026</t>
        </is>
      </c>
    </row>
    <row r="2" ht="45" customHeight="1" s="112">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2026-10-13T08:54:30Z</dcterms:modified>
</cp:coreProperties>
</file>