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Nordic market"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B. Top lawyers" sheetId="7" state="visible" r:id="rId7"/>
    <sheet xmlns:r="http://schemas.openxmlformats.org/officeDocument/2006/relationships" name="B. Partner pipeline" sheetId="8" state="visible" r:id="rId8"/>
    <sheet xmlns:r="http://schemas.openxmlformats.org/officeDocument/2006/relationships" name="C. Benchmarking" sheetId="9" state="visible" r:id="rId9"/>
    <sheet xmlns:r="http://schemas.openxmlformats.org/officeDocument/2006/relationships" name="D. Rate cards" sheetId="10" state="visible" r:id="rId10"/>
    <sheet xmlns:r="http://schemas.openxmlformats.org/officeDocument/2006/relationships" name="E. Partner compensation" sheetId="11" state="visible" r:id="rId11"/>
    <sheet xmlns:r="http://schemas.openxmlformats.org/officeDocument/2006/relationships" name="F. M&amp;A &amp; team lifts" sheetId="12" state="visible" r:id="rId12"/>
  </sheets>
  <definedNames>
    <definedName name="_xlnm._FilterDatabase" localSheetId="5" hidden="1">'B. Rankings raw'!$A$1:$E$661</definedName>
    <definedName name="_xlnm._FilterDatabase" localSheetId="7" hidden="1">'B. Partner pipeline'!$A$4:$K$176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0"/>
  </numFmts>
  <fonts count="12">
    <font>
      <name val="Calibri"/>
      <family val="2"/>
      <color theme="1"/>
      <sz val="11"/>
      <scheme val="minor"/>
    </font>
    <font>
      <b val="1"/>
      <sz val="14"/>
    </font>
    <font>
      <b val="1"/>
      <color rgb="00FFFFFF"/>
    </font>
    <font>
      <b val="1"/>
      <sz val="8"/>
    </font>
    <font/>
    <font>
      <b val="1"/>
    </font>
    <font>
      <i val="1"/>
      <sz val="9"/>
    </font>
    <font>
      <b val="1"/>
      <sz val="11"/>
    </font>
    <font>
      <b val="1"/>
      <sz val="9"/>
    </font>
    <font>
      <b val="1"/>
      <color rgb="001F3864"/>
      <sz val="12"/>
    </font>
    <font>
      <b val="1"/>
      <color rgb="001F3864"/>
      <sz val="11"/>
    </font>
    <font>
      <b val="1"/>
      <sz val="12"/>
    </font>
  </fonts>
  <fills count="12">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
      <patternFill patternType="solid">
        <fgColor rgb="00F8CBAD"/>
      </patternFill>
    </fill>
  </fills>
  <borders count="20">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9" fillId="0" borderId="0" pivotButton="0" quotePrefix="0" xfId="0"/>
    <xf numFmtId="0" fontId="0" fillId="11" borderId="1" pivotButton="0" quotePrefix="0" xfId="0"/>
    <xf numFmtId="0" fontId="0" fillId="4" borderId="1" applyAlignment="1" pivotButton="0" quotePrefix="0" xfId="0">
      <alignment horizontal="center" vertical="top" wrapText="1"/>
    </xf>
    <xf numFmtId="0" fontId="0" fillId="4" borderId="1" applyAlignment="1" pivotButton="0" quotePrefix="0" xfId="0">
      <alignment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xf numFmtId="0" fontId="10" fillId="0" borderId="0" pivotButton="0" quotePrefix="0" xfId="0"/>
    <xf numFmtId="167" fontId="0" fillId="0" borderId="1" pivotButton="0" quotePrefix="0" xfId="0"/>
    <xf numFmtId="3" fontId="5" fillId="0" borderId="0" pivotButton="0" quotePrefix="0" xfId="0"/>
    <xf numFmtId="1" fontId="0" fillId="0" borderId="1" applyAlignment="1" pivotButton="0" quotePrefix="0" xfId="0">
      <alignment horizontal="center" vertical="top" wrapText="1"/>
    </xf>
    <xf numFmtId="0" fontId="11" fillId="0" borderId="0" pivotButton="0" quotePrefix="0" xfId="0"/>
    <xf numFmtId="0" fontId="0" fillId="0" borderId="19"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4" customWidth="1" style="112" min="1" max="1"/>
    <col width="30" customWidth="1" style="112" min="2" max="2"/>
    <col width="28" customWidth="1" style="112" min="3" max="3"/>
    <col width="28" customWidth="1" style="112" min="4" max="4"/>
    <col width="24" customWidth="1" style="112" min="5" max="5"/>
    <col width="30" customWidth="1" style="112" min="6" max="6"/>
    <col width="50" customWidth="1" style="112" min="7" max="7"/>
    <col width="34" customWidth="1" style="112" min="8" max="8"/>
  </cols>
  <sheetData>
    <row r="1">
      <c r="A1" s="1" t="inlineStr">
        <is>
          <t>A5. Nordic legal and business-law market comparison (SE, NO, DK, FI)</t>
        </is>
      </c>
    </row>
    <row r="3">
      <c r="A3" s="124" t="inlineStr">
        <is>
          <t>FX: Riksbank fixing, 12 Oct 2026 (latest published; SEK per unit)</t>
        </is>
      </c>
    </row>
    <row r="4">
      <c r="A4" s="99" t="inlineStr">
        <is>
          <t>Currency</t>
        </is>
      </c>
      <c r="B4" s="99" t="inlineStr">
        <is>
          <t>SEK per unit</t>
        </is>
      </c>
      <c r="C4" s="99" t="inlineStr">
        <is>
          <t>Source</t>
        </is>
      </c>
    </row>
    <row r="5">
      <c r="A5" s="6" t="inlineStr">
        <is>
          <t>USD</t>
        </is>
      </c>
      <c r="B5" s="125" t="n">
        <v>10.01386</v>
      </c>
      <c r="C5" s="6" t="inlineStr">
        <is>
          <t>https://api.riksbank.se/swea/v1/Observations/Latest/SEKUSDPMI (cross-checked vs ECB)</t>
        </is>
      </c>
    </row>
    <row r="6">
      <c r="A6" s="6" t="inlineStr">
        <is>
          <t>EUR</t>
        </is>
      </c>
      <c r="B6" s="125" t="n">
        <v>11.1965</v>
      </c>
      <c r="C6" s="6" t="inlineStr">
        <is>
          <t>https://api.riksbank.se/swea/v1/Observations/Latest/SEKEURPMI (cross-checked vs ECB)</t>
        </is>
      </c>
    </row>
    <row r="7">
      <c r="A7" s="6" t="inlineStr">
        <is>
          <t>NOK</t>
        </is>
      </c>
      <c r="B7" s="125" t="n">
        <v>1.04684</v>
      </c>
      <c r="C7" s="6" t="inlineStr">
        <is>
          <t>https://api.riksbank.se/swea/v1/Observations/Latest/SEKNOKPMI (cross-checked vs ECB)</t>
        </is>
      </c>
    </row>
    <row r="8">
      <c r="A8" s="6" t="inlineStr">
        <is>
          <t>DKK</t>
        </is>
      </c>
      <c r="B8" s="125" t="n">
        <v>1.4979</v>
      </c>
      <c r="C8" s="6" t="inlineStr">
        <is>
          <t>https://api.riksbank.se/swea/v1/Observations/Latest/SEKDKKPMI (cross-checked vs ECB)</t>
        </is>
      </c>
    </row>
    <row r="10">
      <c r="A10" s="124" t="inlineStr">
        <is>
          <t>Market size, 2024 (local currency m and SEK m at today's FX)</t>
        </is>
      </c>
    </row>
    <row r="11">
      <c r="A11" s="99" t="inlineStr">
        <is>
          <t>Measure</t>
        </is>
      </c>
      <c r="B11" s="99" t="inlineStr">
        <is>
          <t>Country</t>
        </is>
      </c>
      <c r="C11" s="99" t="inlineStr">
        <is>
          <t>Currency</t>
        </is>
      </c>
      <c r="D11" s="99" t="inlineStr">
        <is>
          <t>Local (m)</t>
        </is>
      </c>
      <c r="E11" s="99" t="inlineStr">
        <is>
          <t>SEK m</t>
        </is>
      </c>
      <c r="F11" s="99" t="inlineStr">
        <is>
          <t>Year</t>
        </is>
      </c>
      <c r="G11" s="99" t="inlineStr">
        <is>
          <t>Source / note</t>
        </is>
      </c>
    </row>
    <row r="12">
      <c r="A12" s="49" t="inlineStr">
        <is>
          <t>Legal activities (NACE 69.1), official</t>
        </is>
      </c>
      <c r="B12" s="90" t="inlineStr">
        <is>
          <t>Sweden</t>
        </is>
      </c>
      <c r="C12" s="90" t="inlineStr">
        <is>
          <t>SEK</t>
        </is>
      </c>
      <c r="D12" s="100" t="n">
        <v>38921</v>
      </c>
      <c r="E12" s="100">
        <f>D12*1</f>
        <v/>
      </c>
      <c r="F12" s="90" t="inlineStr">
        <is>
          <t>2024</t>
        </is>
      </c>
      <c r="G12" s="49" t="inlineStr">
        <is>
          <t>SCB Företagens ekonomi</t>
        </is>
      </c>
    </row>
    <row r="13">
      <c r="A13" s="49" t="inlineStr">
        <is>
          <t>Legal activities (NACE 69.1), official</t>
        </is>
      </c>
      <c r="B13" s="90" t="inlineStr">
        <is>
          <t>Norway</t>
        </is>
      </c>
      <c r="C13" s="90" t="inlineStr">
        <is>
          <t>NOK</t>
        </is>
      </c>
      <c r="D13" s="100" t="n">
        <v>27518</v>
      </c>
      <c r="E13" s="100">
        <f>D13*$B$7</f>
        <v/>
      </c>
      <c r="F13" s="90" t="inlineStr">
        <is>
          <t>2024</t>
        </is>
      </c>
      <c r="G13" s="49" t="inlineStr">
        <is>
          <t>SSB table 08206 / 12817</t>
        </is>
      </c>
    </row>
    <row r="14">
      <c r="A14" s="49" t="inlineStr">
        <is>
          <t>Legal activities (NACE 69.10), official</t>
        </is>
      </c>
      <c r="B14" s="90" t="inlineStr">
        <is>
          <t>Denmark</t>
        </is>
      </c>
      <c r="C14" s="90" t="inlineStr">
        <is>
          <t>DKK</t>
        </is>
      </c>
      <c r="D14" s="100" t="n">
        <v>19480</v>
      </c>
      <c r="E14" s="100">
        <f>D14*$B$8</f>
        <v/>
      </c>
      <c r="F14" s="90" t="inlineStr">
        <is>
          <t>2024</t>
        </is>
      </c>
      <c r="G14" s="49" t="inlineStr">
        <is>
          <t>Danmarks Statistik GF11</t>
        </is>
      </c>
    </row>
    <row r="15">
      <c r="A15" s="49" t="inlineStr">
        <is>
          <t>Legal activities (TOL 691), official</t>
        </is>
      </c>
      <c r="B15" s="90" t="inlineStr">
        <is>
          <t>Finland</t>
        </is>
      </c>
      <c r="C15" s="90" t="inlineStr">
        <is>
          <t>EUR</t>
        </is>
      </c>
      <c r="D15" s="100" t="n">
        <v>1177</v>
      </c>
      <c r="E15" s="100">
        <f>D15*$B$6</f>
        <v/>
      </c>
      <c r="F15" s="90" t="inlineStr">
        <is>
          <t>2024</t>
        </is>
      </c>
      <c r="G15" s="49" t="inlineStr">
        <is>
          <t>Statistics Finland 13w3 (2025: EUR 1,276m; incl. patent offices ~EUR 109m)</t>
        </is>
      </c>
    </row>
    <row r="16">
      <c r="A16" s="49" t="inlineStr">
        <is>
          <t>Business law: official / best estimate</t>
        </is>
      </c>
      <c r="B16" s="90" t="inlineStr">
        <is>
          <t>Sweden</t>
        </is>
      </c>
      <c r="C16" s="90" t="inlineStr">
        <is>
          <t>SEK</t>
        </is>
      </c>
      <c r="D16" s="100" t="n">
        <v>16000</v>
      </c>
      <c r="E16" s="100">
        <f>D16*1</f>
        <v/>
      </c>
      <c r="F16" s="90" t="inlineStr">
        <is>
          <t>2025</t>
        </is>
      </c>
      <c r="G16" s="49" t="inlineStr">
        <is>
          <t>Afv panel of 56 largest firms (floor); industry estimate &gt;SEK 25bn</t>
        </is>
      </c>
    </row>
    <row r="17">
      <c r="A17" s="49" t="inlineStr">
        <is>
          <t>Business law: official / best estimate</t>
        </is>
      </c>
      <c r="B17" s="90" t="inlineStr">
        <is>
          <t>Norway</t>
        </is>
      </c>
      <c r="C17" s="90" t="inlineStr">
        <is>
          <t>NOK</t>
        </is>
      </c>
      <c r="D17" s="100" t="n">
        <v>15604</v>
      </c>
      <c r="E17" s="100">
        <f>D17*$B$7</f>
        <v/>
      </c>
      <c r="F17" s="90" t="inlineStr">
        <is>
          <t>2024</t>
        </is>
      </c>
      <c r="G17" s="49" t="inlineStr">
        <is>
          <t>SSB service split "forretningsrett" (57% of 69.1)</t>
        </is>
      </c>
    </row>
    <row r="18">
      <c r="A18" s="49" t="inlineStr">
        <is>
          <t>Business law: official / best estimate</t>
        </is>
      </c>
      <c r="B18" s="90" t="inlineStr">
        <is>
          <t>Denmark</t>
        </is>
      </c>
      <c r="C18" s="90" t="inlineStr">
        <is>
          <t>DKK</t>
        </is>
      </c>
      <c r="D18" s="100" t="n">
        <v>13050</v>
      </c>
      <c r="E18" s="100">
        <f>D18*$B$8</f>
        <v/>
      </c>
      <c r="F18" s="90" t="inlineStr">
        <is>
          <t>2024e</t>
        </is>
      </c>
      <c r="G18" s="49" t="inlineStr">
        <is>
          <t>Estimate: business clients ~67% of sector turnover (2018, Økonomistyrelsen expert group) x 2024 turnover</t>
        </is>
      </c>
    </row>
    <row r="19">
      <c r="A19" s="49" t="inlineStr">
        <is>
          <t>Business law: official / best estimate</t>
        </is>
      </c>
      <c r="B19" s="90" t="inlineStr">
        <is>
          <t>Finland</t>
        </is>
      </c>
      <c r="C19" s="90" t="inlineStr">
        <is>
          <t>EUR</t>
        </is>
      </c>
      <c r="D19" s="100" t="n">
        <v>600</v>
      </c>
      <c r="E19" s="100">
        <f>D19*$B$6</f>
        <v/>
      </c>
      <c r="F19" s="90" t="inlineStr">
        <is>
          <t>2025e</t>
        </is>
      </c>
      <c r="G19" s="49" t="inlineStr">
        <is>
          <t>Estimate EUR 0.55-0.65bn: top-20 firms ~EUR 581m + tail</t>
        </is>
      </c>
    </row>
    <row r="20">
      <c r="A20" s="46" t="inlineStr">
        <is>
          <t>Nordic total, legal activities</t>
        </is>
      </c>
      <c r="E20" s="126">
        <f>SUM(E12:E15)</f>
        <v/>
      </c>
    </row>
    <row r="21">
      <c r="A21" s="46" t="inlineStr">
        <is>
          <t>Nordic total, business law (estimate)</t>
        </is>
      </c>
      <c r="E21" s="126">
        <f>SUM(E16:E19)</f>
        <v/>
      </c>
      <c r="G21" s="2" t="inlineStr">
        <is>
          <t>Sweden at panel floor (SEK 16bn); using SEK 20-25bn for Sweden gives ~SEK 64-69bn</t>
        </is>
      </c>
    </row>
    <row r="23">
      <c r="A23" s="124" t="inlineStr">
        <is>
          <t>Structure and growth (Eurostat SBS M69.1, 2024, EUR; consistent basis)</t>
        </is>
      </c>
    </row>
    <row r="24">
      <c r="A24" s="99" t="inlineStr">
        <is>
          <t>Country</t>
        </is>
      </c>
      <c r="B24" s="99" t="inlineStr">
        <is>
          <t>Turnover EUR m</t>
        </is>
      </c>
      <c r="C24" s="99" t="inlineStr">
        <is>
          <t>Turnover SEK m</t>
        </is>
      </c>
      <c r="D24" s="99" t="inlineStr">
        <is>
          <t>Enterprises</t>
        </is>
      </c>
      <c r="E24" s="99" t="inlineStr">
        <is>
          <t>Employees</t>
        </is>
      </c>
      <c r="F24" s="99" t="inlineStr">
        <is>
          <t>Turnover / employee EUR k</t>
        </is>
      </c>
      <c r="G24" s="99" t="inlineStr">
        <is>
          <t>Local CAGR</t>
        </is>
      </c>
      <c r="H24" s="99" t="inlineStr">
        <is>
          <t>Lawyers (Bar)</t>
        </is>
      </c>
    </row>
    <row r="25">
      <c r="A25" s="49" t="inlineStr">
        <is>
          <t>Sweden</t>
        </is>
      </c>
      <c r="B25" s="100" t="n">
        <v>3404.44</v>
      </c>
      <c r="C25" s="100">
        <f>B25*$B$6</f>
        <v/>
      </c>
      <c r="D25" s="100" t="n">
        <v>6965</v>
      </c>
      <c r="E25" s="100" t="n">
        <v>17521</v>
      </c>
      <c r="F25" s="127">
        <f>B25/E25*1000</f>
        <v/>
      </c>
      <c r="G25" s="49" t="inlineStr">
        <is>
          <t>~8% p.a. 2022-24 (SCB new series); 5.8% 2010-21</t>
        </is>
      </c>
      <c r="H25" s="49" t="inlineStr">
        <is>
          <t>6,712 members (5,963 practising), end-2025</t>
        </is>
      </c>
    </row>
    <row r="26">
      <c r="A26" s="49" t="inlineStr">
        <is>
          <t>Norway</t>
        </is>
      </c>
      <c r="B26" s="100" t="n">
        <v>2366.31</v>
      </c>
      <c r="C26" s="100">
        <f>B26*$B$6</f>
        <v/>
      </c>
      <c r="D26" s="100" t="n">
        <v>2214</v>
      </c>
      <c r="E26" s="100" t="n">
        <v>9264</v>
      </c>
      <c r="F26" s="127">
        <f>B26/E26*1000</f>
        <v/>
      </c>
      <c r="G26" s="49" t="inlineStr">
        <is>
          <t>9.3% p.a. 2019-24 (SSB)</t>
        </is>
      </c>
      <c r="H26" s="49" t="inlineStr">
        <is>
          <t>10,756 Advokatforeningen members incl. trainees (2025)</t>
        </is>
      </c>
    </row>
    <row r="27">
      <c r="A27" s="49" t="inlineStr">
        <is>
          <t>Denmark</t>
        </is>
      </c>
      <c r="B27" s="100" t="n">
        <v>2610.51</v>
      </c>
      <c r="C27" s="100">
        <f>B27*$B$6</f>
        <v/>
      </c>
      <c r="D27" s="100" t="n">
        <v>1912</v>
      </c>
      <c r="E27" s="100" t="n">
        <v>13158</v>
      </c>
      <c r="F27" s="127">
        <f>B27/E27*1000</f>
        <v/>
      </c>
      <c r="G27" s="49" t="inlineStr">
        <is>
          <t>4.5% p.a. 2019-24 (DST)</t>
        </is>
      </c>
      <c r="H27" s="49" t="inlineStr">
        <is>
          <t>~7,760 lawyers incl. in-house (end-2025)</t>
        </is>
      </c>
    </row>
    <row r="28">
      <c r="A28" s="49" t="inlineStr">
        <is>
          <t>Finland</t>
        </is>
      </c>
      <c r="B28" s="100" t="n">
        <v>1177.38</v>
      </c>
      <c r="C28" s="100">
        <f>B28*$B$6</f>
        <v/>
      </c>
      <c r="D28" s="100" t="n">
        <v>2726</v>
      </c>
      <c r="E28" s="100" t="n">
        <v>6509</v>
      </c>
      <c r="F28" s="127">
        <f>B28/E28*1000</f>
        <v/>
      </c>
      <c r="G28" s="49" t="inlineStr">
        <is>
          <t>4.9% p.a. 2019-25 (StatFin)</t>
        </is>
      </c>
      <c r="H28" s="49" t="inlineStr">
        <is>
          <t>2,443 asianajajat + 1,778 licensed counsel (end-2025)</t>
        </is>
      </c>
    </row>
    <row r="29">
      <c r="A29" s="46" t="inlineStr">
        <is>
          <t>Total</t>
        </is>
      </c>
      <c r="B29" s="58">
        <f>SUM(B25:B28)</f>
        <v/>
      </c>
      <c r="C29" s="58">
        <f>SUM(C25:C28)</f>
        <v/>
      </c>
      <c r="D29" s="58">
        <f>SUM(D25:D28)</f>
        <v/>
      </c>
      <c r="E29" s="58">
        <f>SUM(E25:E28)</f>
        <v/>
      </c>
    </row>
    <row r="31">
      <c r="A31" s="124" t="inlineStr">
        <is>
          <t>Leading firms and concentration</t>
        </is>
      </c>
    </row>
    <row r="32">
      <c r="A32" s="99" t="inlineStr">
        <is>
          <t>Country</t>
        </is>
      </c>
      <c r="B32" s="99" t="inlineStr">
        <is>
          <t>Largest firm (revenue)</t>
        </is>
      </c>
      <c r="C32" s="99" t="inlineStr">
        <is>
          <t>Top-5 revenue</t>
        </is>
      </c>
      <c r="D32" s="99" t="inlineStr">
        <is>
          <t>Concentration</t>
        </is>
      </c>
      <c r="E32" s="99" t="inlineStr">
        <is>
          <t>Revenue per employee, large firms</t>
        </is>
      </c>
      <c r="F32" s="99" t="inlineStr">
        <is>
          <t>Partner / hourly rate evidence</t>
        </is>
      </c>
      <c r="G32" s="99" t="inlineStr">
        <is>
          <t>Ownership rules for external capital</t>
        </is>
      </c>
    </row>
    <row r="33">
      <c r="A33" s="49" t="inlineStr">
        <is>
          <t>Sweden</t>
        </is>
      </c>
      <c r="B33" s="49" t="inlineStr">
        <is>
          <t>Vinge SEK 2,036m (2025)</t>
        </is>
      </c>
      <c r="C33" s="49" t="inlineStr">
        <is>
          <t>Top-5 ~46% of Afv panel (FY2024)</t>
        </is>
      </c>
      <c r="D33" s="49" t="inlineStr">
        <is>
          <t>Top-10 ~66% of panel</t>
        </is>
      </c>
      <c r="E33" s="49" t="inlineStr">
        <is>
          <t>SEK 3.1-3.9m (MSA, Vinge, 2025)</t>
        </is>
      </c>
      <c r="F33" s="49" t="inlineStr">
        <is>
          <t>Partner list SEK 6,000-10,000/h (2025-26)</t>
        </is>
      </c>
      <c r="G33" s="49" t="inlineStr">
        <is>
          <t>Bar firms lawyer-owned only; route = leave the Bar (AGRD: 9+ firms since 2025); Bar reviewing rules 2026</t>
        </is>
      </c>
    </row>
    <row r="34">
      <c r="A34" s="49" t="inlineStr">
        <is>
          <t>Norway</t>
        </is>
      </c>
      <c r="B34" s="49" t="inlineStr">
        <is>
          <t>Schjødt NOK 2,498m (2025, consolidated incl. SE/DK/UK)</t>
        </is>
      </c>
      <c r="C34" s="49" t="inlineStr">
        <is>
          <t>NOK 9.4bn (2025): Schjødt, Wikborg Rein, Thommessen, BAHR, Wiersholm</t>
        </is>
      </c>
      <c r="D34" s="49" t="inlineStr">
        <is>
          <t>Top-5 ~31% of SSB 69.1 (2024); top-100 NOK 22.2bn</t>
        </is>
      </c>
      <c r="E34" s="49" t="inlineStr">
        <is>
          <t>NOK 4.7-5.5m (Thommessen, Wiersholm, BAHR, 2025)</t>
        </is>
      </c>
      <c r="F34" s="49" t="inlineStr">
        <is>
          <t>Blended ~NOK 5,500/h (Wiersholm, court ruling)</t>
        </is>
      </c>
      <c r="G34" s="49" t="inlineStr">
        <is>
          <t>Lawyers Act 2025: owners must work in the firm, lawyer board majority; passive / PE ownership not permitted for advokat firms</t>
        </is>
      </c>
    </row>
    <row r="35">
      <c r="A35" s="49" t="inlineStr">
        <is>
          <t>Denmark</t>
        </is>
      </c>
      <c r="B35" s="49" t="inlineStr">
        <is>
          <t>Gorrissen Federspiel DKK 1,311m (2025)</t>
        </is>
      </c>
      <c r="C35" s="49" t="inlineStr">
        <is>
          <t>Gorrissen, Plesner, Bech-Bruun, Accura, DLA Piper ~DKK 5.5bn (2025)</t>
        </is>
      </c>
      <c r="D35" s="49" t="inlineStr">
        <is>
          <t>Top-10 ~44% of sector (2022, KFST); est. 47-49% (2025)</t>
        </is>
      </c>
      <c r="E35" s="49" t="inlineStr">
        <is>
          <t>DKK 2.4-2.55m per FTE (2025)</t>
        </is>
      </c>
      <c r="F35" s="49" t="inlineStr">
        <is>
          <t>Partner DKK 2,057-5,400/h (2023, mid-market); Kammeradvokat DKK 2,710</t>
        </is>
      </c>
      <c r="G35" s="49" t="inlineStr">
        <is>
          <t>Law-firm shares only for practising lawyers / staff (BEK 1427/2007); advocates' court monopoly</t>
        </is>
      </c>
    </row>
    <row r="36">
      <c r="A36" s="49" t="inlineStr">
        <is>
          <t>Finland</t>
        </is>
      </c>
      <c r="B36" s="49" t="inlineStr">
        <is>
          <t>Roschier EUR 99m (FY05/2026)</t>
        </is>
      </c>
      <c r="C36" s="49" t="inlineStr">
        <is>
          <t>EUR ~349m: Roschier, Krogerus, Hannes Snellman, Borenius, Castrén &amp; Snellman</t>
        </is>
      </c>
      <c r="D36" s="49" t="inlineStr">
        <is>
          <t>Top-5 ~27% of TOL 691 (2025); top-5 ~55% of top-30</t>
        </is>
      </c>
      <c r="E36" s="49" t="inlineStr">
        <is>
          <t>EUR 205-384k per staff (top-10)</t>
        </is>
      </c>
      <c r="F36" s="49" t="inlineStr">
        <is>
          <t>No current survey (2012 median EUR 200/h)</t>
        </is>
      </c>
      <c r="G36" s="49" t="inlineStr">
        <is>
          <t>Bar firms lawyer-owned; licensed-counsel route gives full rights of audience; Fondia (listed, non-Bar)</t>
        </is>
      </c>
    </row>
    <row r="38">
      <c r="A38" s="124" t="inlineStr">
        <is>
          <t>Consolidation and international activity, 2020-2026</t>
        </is>
      </c>
    </row>
    <row r="39">
      <c r="A39" s="99" t="inlineStr">
        <is>
          <t>Country</t>
        </is>
      </c>
      <c r="B39" s="99" t="inlineStr">
        <is>
          <t>Activity</t>
        </is>
      </c>
    </row>
    <row r="40">
      <c r="A40" s="49" t="inlineStr">
        <is>
          <t>Sweden</t>
        </is>
      </c>
      <c r="B40" s="49" t="inlineStr">
        <is>
          <t>AGRD (Axcel) roll-up of 9+ firms since Aug-2025 incl. Setterwalls Malmö; CMS-Wistrand (2024); BAHR Stockholm (2026); Schjødt-Hamilton (2020); Magnusson-Gro, Walthon Ramberg (2026); Hannes Snellman split (2024); MAQS split (2027)</t>
        </is>
      </c>
    </row>
    <row r="41">
      <c r="A41" s="49" t="inlineStr">
        <is>
          <t>Norway</t>
        </is>
      </c>
      <c r="B41" s="49" t="inlineStr">
        <is>
          <t>Schjødt-Hamilton SE (2020), Copenhagen (2022), Norrbom Vinding DK (Mar-2026); BAHR opens Stockholm and Copenhagen (2025-26) after hiring ~18 Schjødt partners; Ræder Bing (2023), Lippestad / Bache-Wiig and Tofte Hald (2024); Cedra buys Big-4 regional law offices (Dec-2025)</t>
        </is>
      </c>
    </row>
    <row r="42">
      <c r="A42" s="49" t="inlineStr">
        <is>
          <t>Denmark</t>
        </is>
      </c>
      <c r="B42" s="49" t="inlineStr">
        <is>
          <t>HortenDahl merger (Jan-2026); DLA Piper takes 49 from Lundgrens (Mar-2025); Schjødt-Norrbom Vinding (Mar-2026); Kromann Reumert converts to P/S (Nov-2025); proposal to open Kammeradvokat mandate (~DKK 0.7bn) to competition</t>
        </is>
      </c>
    </row>
    <row r="43">
      <c r="A43" s="49" t="inlineStr">
        <is>
          <t>Finland</t>
        </is>
      </c>
      <c r="B43" s="49" t="inlineStr">
        <is>
          <t>Hannes Snellman split (2024); DLA Piper-Project Law (2023); Merilampi-I&amp;O Partners (2025, single source); no PE investment found; Fondia (listed) shrinking</t>
        </is>
      </c>
    </row>
    <row r="45">
      <c r="A45" s="45" t="inlineStr">
        <is>
          <t>Sources: SCB; SSB tables 08206 / 12817; Danmarks Statistik GF11 / REGN1; Statistics Finland 13w3; Eurostat sbs_ovw_act (M691); Advokatbladet / Kapital JUS (NO league tables); Proff.dk filed accounts and Økonomisk Ugebrev (DK); Asiakastieto / DM Faster (FI); Økonomistyrelsen expert group Dec-2024 (DK); national Bar associations.</t>
        </is>
      </c>
    </row>
    <row r="46">
      <c r="A46" s="45" t="inlineStr">
        <is>
          <t>Caveats: official statistics measure all legal activities, not business law only (Norway is the only country publishing a business-law split). Firm revenues use different fiscal years and entity scopes (e.g. Schjødt consolidated). Business-law figures for Sweden, Denmark and Finland are estimates. FX: Riksbank 12 Oct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7"/>
  <sheetViews>
    <sheetView workbookViewId="0">
      <selection activeCell="A1" sqref="A1"/>
    </sheetView>
  </sheetViews>
  <sheetFormatPr baseColWidth="8" defaultRowHeight="15"/>
  <cols>
    <col width="26" customWidth="1" style="112" min="1" max="1"/>
    <col width="18" customWidth="1" style="112" min="2" max="2"/>
    <col width="18" customWidth="1" style="112" min="3" max="3"/>
    <col width="18" customWidth="1" style="112" min="4" max="4"/>
    <col width="22" customWidth="1" style="112" min="5" max="5"/>
    <col width="10" customWidth="1" style="112" min="6" max="6"/>
    <col width="10" customWidth="1" style="112" min="7" max="7"/>
    <col width="10" customWidth="1" style="112" min="8" max="8"/>
  </cols>
  <sheetData>
    <row r="1">
      <c r="A1" s="1" t="inlineStr">
        <is>
          <t>B3. Top-ranked lawyers, Sweden: Corporate / M&amp;A, Private equity, Banking &amp; finance, Dispute resolution</t>
        </is>
      </c>
    </row>
    <row r="2" ht="75" customHeight="1" s="112">
      <c r="A2" s="2" t="inlineStr">
        <is>
          <t>Top three ranking levels per directory. Chambers Europe 2026: Band 1, Band 2, Band 3 (individual bands; Senior Statespeople, Eminent Practitioners, Up and Coming and Bands 4-5 excluded). Legal 500 EMEA (current edition): Hall of Fame, Leading partners, Next Generation Partners (Leading associates excluded; Legal 500 does not split "Leading partners" into tiers). Legal 500 has no separate Sweden private equity table (PE sits within Corporate / M&amp;A), so Private equity is Chambers only. Firm = as listed by the directory (reflects recent moves, e.g. partners now at BAHR). Extracted 13 Oct 2026. Highlight: MAQS (yellow); Magnusson, Delphi, Lindahl (orange).</t>
        </is>
      </c>
    </row>
    <row r="4">
      <c r="A4" s="47" t="inlineStr">
        <is>
          <t>Summary: number of top-ranked lawyers per firm (unique names per area, either directory)</t>
        </is>
      </c>
    </row>
    <row r="5">
      <c r="A5" s="99" t="inlineStr">
        <is>
          <t>Firm</t>
        </is>
      </c>
      <c r="B5" s="99" t="inlineStr">
        <is>
          <t>Corporate / M&amp;A</t>
        </is>
      </c>
      <c r="C5" s="99" t="inlineStr">
        <is>
          <t>Private equity</t>
        </is>
      </c>
      <c r="D5" s="99" t="inlineStr">
        <is>
          <t>Banking &amp; finance</t>
        </is>
      </c>
      <c r="E5" s="99" t="inlineStr">
        <is>
          <t>Dispute resolution</t>
        </is>
      </c>
      <c r="F5" s="99" t="inlineStr">
        <is>
          <t>Total</t>
        </is>
      </c>
    </row>
    <row r="6">
      <c r="A6" s="6" t="inlineStr">
        <is>
          <t>Mannheimer Swartling</t>
        </is>
      </c>
      <c r="B6" s="90" t="n">
        <v>6</v>
      </c>
      <c r="C6" s="90" t="n">
        <v>2</v>
      </c>
      <c r="D6" s="90" t="n">
        <v>4</v>
      </c>
      <c r="E6" s="90" t="n">
        <v>3</v>
      </c>
      <c r="F6" s="107">
        <f>SUM(B6:E6)</f>
        <v/>
      </c>
    </row>
    <row r="7">
      <c r="A7" s="6" t="inlineStr">
        <is>
          <t>Vinge</t>
        </is>
      </c>
      <c r="B7" s="90" t="n">
        <v>4</v>
      </c>
      <c r="C7" s="90" t="n">
        <v>4</v>
      </c>
      <c r="D7" s="90" t="n">
        <v>2</v>
      </c>
      <c r="E7" s="90" t="n">
        <v>3</v>
      </c>
      <c r="F7" s="107">
        <f>SUM(B7:E7)</f>
        <v/>
      </c>
    </row>
    <row r="8">
      <c r="A8" s="6" t="inlineStr">
        <is>
          <t>Gernandt &amp; Danielsson</t>
        </is>
      </c>
      <c r="B8" s="90" t="n">
        <v>3</v>
      </c>
      <c r="C8" s="90" t="n">
        <v>1</v>
      </c>
      <c r="D8" s="90" t="n">
        <v>4</v>
      </c>
      <c r="E8" s="90" t="n">
        <v>3</v>
      </c>
      <c r="F8" s="107">
        <f>SUM(B8:E8)</f>
        <v/>
      </c>
    </row>
    <row r="9">
      <c r="A9" s="6" t="inlineStr">
        <is>
          <t>Roschier</t>
        </is>
      </c>
      <c r="B9" s="90" t="n">
        <v>3</v>
      </c>
      <c r="C9" s="90" t="n">
        <v>2</v>
      </c>
      <c r="D9" s="90" t="n">
        <v>2</v>
      </c>
      <c r="E9" s="90" t="n">
        <v>3</v>
      </c>
      <c r="F9" s="107">
        <f>SUM(B9:E9)</f>
        <v/>
      </c>
    </row>
    <row r="10">
      <c r="A10" s="6" t="inlineStr">
        <is>
          <t>Cederquist</t>
        </is>
      </c>
      <c r="B10" s="90" t="n">
        <v>2</v>
      </c>
      <c r="C10" s="90" t="n"/>
      <c r="D10" s="90" t="n">
        <v>2</v>
      </c>
      <c r="E10" s="90" t="n">
        <v>3</v>
      </c>
      <c r="F10" s="107">
        <f>SUM(B10:E10)</f>
        <v/>
      </c>
    </row>
    <row r="11">
      <c r="A11" s="6" t="inlineStr">
        <is>
          <t>Setterwalls</t>
        </is>
      </c>
      <c r="B11" s="90" t="n">
        <v>2</v>
      </c>
      <c r="C11" s="90" t="n">
        <v>1</v>
      </c>
      <c r="D11" s="90" t="n">
        <v>2</v>
      </c>
      <c r="E11" s="90" t="n">
        <v>1</v>
      </c>
      <c r="F11" s="107">
        <f>SUM(B11:E11)</f>
        <v/>
      </c>
    </row>
    <row r="12">
      <c r="A12" s="6" t="inlineStr">
        <is>
          <t>White &amp; Case</t>
        </is>
      </c>
      <c r="B12" s="90" t="n">
        <v>1</v>
      </c>
      <c r="C12" s="90" t="n">
        <v>2</v>
      </c>
      <c r="D12" s="90" t="n">
        <v>1</v>
      </c>
      <c r="E12" s="90" t="n">
        <v>2</v>
      </c>
      <c r="F12" s="107">
        <f>SUM(B12:E12)</f>
        <v/>
      </c>
    </row>
    <row r="13">
      <c r="A13" s="6" t="inlineStr">
        <is>
          <t>Baker McKenzie</t>
        </is>
      </c>
      <c r="B13" s="90" t="n">
        <v>2</v>
      </c>
      <c r="C13" s="90" t="n">
        <v>1</v>
      </c>
      <c r="D13" s="90" t="n">
        <v>1</v>
      </c>
      <c r="E13" s="90" t="n"/>
      <c r="F13" s="107">
        <f>SUM(B13:E13)</f>
        <v/>
      </c>
    </row>
    <row r="14">
      <c r="A14" s="6" t="inlineStr">
        <is>
          <t>DLA Piper</t>
        </is>
      </c>
      <c r="B14" s="90" t="n">
        <v>1</v>
      </c>
      <c r="C14" s="90" t="n">
        <v>1</v>
      </c>
      <c r="D14" s="90" t="n">
        <v>1</v>
      </c>
      <c r="E14" s="90" t="n">
        <v>1</v>
      </c>
      <c r="F14" s="107">
        <f>SUM(B14:E14)</f>
        <v/>
      </c>
    </row>
    <row r="15">
      <c r="A15" s="6" t="inlineStr">
        <is>
          <t>Hammarskiöld</t>
        </is>
      </c>
      <c r="B15" s="90" t="n">
        <v>1</v>
      </c>
      <c r="C15" s="90" t="n"/>
      <c r="D15" s="90" t="n">
        <v>2</v>
      </c>
      <c r="E15" s="90" t="n">
        <v>1</v>
      </c>
      <c r="F15" s="107">
        <f>SUM(B15:E15)</f>
        <v/>
      </c>
    </row>
    <row r="16">
      <c r="A16" s="6" t="inlineStr">
        <is>
          <t>Snellman</t>
        </is>
      </c>
      <c r="B16" s="90" t="n">
        <v>1</v>
      </c>
      <c r="C16" s="90" t="n">
        <v>1</v>
      </c>
      <c r="D16" s="90" t="n">
        <v>2</v>
      </c>
      <c r="E16" s="90" t="n"/>
      <c r="F16" s="107">
        <f>SUM(B16:E16)</f>
        <v/>
      </c>
    </row>
    <row r="17">
      <c r="A17" s="6" t="inlineStr">
        <is>
          <t>Westerberg &amp; Partners</t>
        </is>
      </c>
      <c r="B17" s="90" t="n"/>
      <c r="C17" s="90" t="n"/>
      <c r="D17" s="90" t="n"/>
      <c r="E17" s="90" t="n">
        <v>4</v>
      </c>
      <c r="F17" s="107">
        <f>SUM(B17:E17)</f>
        <v/>
      </c>
    </row>
    <row r="18">
      <c r="A18" s="6" t="inlineStr">
        <is>
          <t>Linklaters</t>
        </is>
      </c>
      <c r="B18" s="90" t="n">
        <v>2</v>
      </c>
      <c r="C18" s="90" t="n"/>
      <c r="D18" s="90" t="n">
        <v>1</v>
      </c>
      <c r="E18" s="90" t="n"/>
      <c r="F18" s="107">
        <f>SUM(B18:E18)</f>
        <v/>
      </c>
    </row>
    <row r="19">
      <c r="A19" s="6" t="inlineStr">
        <is>
          <t>BAHR</t>
        </is>
      </c>
      <c r="B19" s="90" t="n">
        <v>1</v>
      </c>
      <c r="C19" s="90" t="n"/>
      <c r="D19" s="90" t="n"/>
      <c r="E19" s="90" t="n">
        <v>1</v>
      </c>
      <c r="F19" s="107">
        <f>SUM(B19:E19)</f>
        <v/>
      </c>
    </row>
    <row r="20">
      <c r="A20" s="6" t="inlineStr">
        <is>
          <t>Cirio</t>
        </is>
      </c>
      <c r="B20" s="90" t="n">
        <v>1</v>
      </c>
      <c r="C20" s="90" t="n"/>
      <c r="D20" s="90" t="n">
        <v>1</v>
      </c>
      <c r="E20" s="90" t="n"/>
      <c r="F20" s="107">
        <f>SUM(B20:E20)</f>
        <v/>
      </c>
    </row>
    <row r="21">
      <c r="A21" s="6" t="inlineStr">
        <is>
          <t>Kastell</t>
        </is>
      </c>
      <c r="B21" s="90" t="n"/>
      <c r="C21" s="90" t="n"/>
      <c r="D21" s="90" t="n"/>
      <c r="E21" s="90" t="n">
        <v>2</v>
      </c>
      <c r="F21" s="107">
        <f>SUM(B21:E21)</f>
        <v/>
      </c>
    </row>
    <row r="22">
      <c r="A22" s="6" t="inlineStr">
        <is>
          <t>Morris Law</t>
        </is>
      </c>
      <c r="B22" s="90" t="n">
        <v>1</v>
      </c>
      <c r="C22" s="90" t="n"/>
      <c r="D22" s="90" t="n"/>
      <c r="E22" s="90" t="n">
        <v>1</v>
      </c>
      <c r="F22" s="107">
        <f>SUM(B22:E22)</f>
        <v/>
      </c>
    </row>
    <row r="23">
      <c r="A23" s="6" t="inlineStr">
        <is>
          <t>Norburg &amp; Scherp</t>
        </is>
      </c>
      <c r="B23" s="90" t="n"/>
      <c r="C23" s="90" t="n"/>
      <c r="D23" s="90" t="n"/>
      <c r="E23" s="90" t="n">
        <v>2</v>
      </c>
      <c r="F23" s="107">
        <f>SUM(B23:E23)</f>
        <v/>
      </c>
    </row>
    <row r="24">
      <c r="A24" s="6" t="inlineStr">
        <is>
          <t>TM &amp; Partners</t>
        </is>
      </c>
      <c r="B24" s="90" t="n"/>
      <c r="C24" s="90" t="n"/>
      <c r="D24" s="90" t="n">
        <v>2</v>
      </c>
      <c r="E24" s="90" t="n"/>
      <c r="F24" s="107">
        <f>SUM(B24:E24)</f>
        <v/>
      </c>
    </row>
    <row r="25">
      <c r="A25" s="6" t="inlineStr">
        <is>
          <t>A1 Advokater</t>
        </is>
      </c>
      <c r="B25" s="90" t="n"/>
      <c r="C25" s="90" t="n"/>
      <c r="D25" s="90" t="n"/>
      <c r="E25" s="90" t="n">
        <v>1</v>
      </c>
      <c r="F25" s="107">
        <f>SUM(B25:E25)</f>
        <v/>
      </c>
    </row>
    <row r="26">
      <c r="A26" s="6" t="inlineStr">
        <is>
          <t>CMS Wistrand</t>
        </is>
      </c>
      <c r="B26" s="90" t="n"/>
      <c r="C26" s="90" t="n"/>
      <c r="D26" s="90" t="n"/>
      <c r="E26" s="90" t="n">
        <v>1</v>
      </c>
      <c r="F26" s="107">
        <f>SUM(B26:E26)</f>
        <v/>
      </c>
    </row>
    <row r="27">
      <c r="A27" s="6" t="inlineStr">
        <is>
          <t>Harvest</t>
        </is>
      </c>
      <c r="B27" s="90" t="n"/>
      <c r="C27" s="90" t="n"/>
      <c r="D27" s="90" t="n">
        <v>1</v>
      </c>
      <c r="E27" s="90" t="n"/>
      <c r="F27" s="107">
        <f>SUM(B27:E27)</f>
        <v/>
      </c>
    </row>
    <row r="28">
      <c r="A28" s="6" t="inlineStr">
        <is>
          <t>Kilpatrick Townsend &amp; Stockton Advokat KB</t>
        </is>
      </c>
      <c r="B28" s="90" t="n"/>
      <c r="C28" s="90" t="n"/>
      <c r="D28" s="90" t="n"/>
      <c r="E28" s="90" t="n">
        <v>1</v>
      </c>
      <c r="F28" s="107">
        <f>SUM(B28:E28)</f>
        <v/>
      </c>
    </row>
    <row r="29">
      <c r="A29" s="6" t="inlineStr">
        <is>
          <t>RE:FI STHLM</t>
        </is>
      </c>
      <c r="B29" s="90" t="n"/>
      <c r="C29" s="90" t="n"/>
      <c r="D29" s="90" t="n">
        <v>1</v>
      </c>
      <c r="E29" s="90" t="n"/>
      <c r="F29" s="107">
        <f>SUM(B29:E29)</f>
        <v/>
      </c>
    </row>
    <row r="30">
      <c r="A30" s="6" t="inlineStr">
        <is>
          <t>Wallin &amp; Partners</t>
        </is>
      </c>
      <c r="B30" s="90" t="n"/>
      <c r="C30" s="90" t="n"/>
      <c r="D30" s="90" t="n"/>
      <c r="E30" s="90" t="n">
        <v>1</v>
      </c>
      <c r="F30" s="107">
        <f>SUM(B30:E30)</f>
        <v/>
      </c>
    </row>
    <row r="32">
      <c r="A32" s="118" t="inlineStr">
        <is>
          <t>Corporate / M&amp;A</t>
        </is>
      </c>
    </row>
    <row r="33">
      <c r="A33" s="99" t="inlineStr">
        <is>
          <t>Directory</t>
        </is>
      </c>
      <c r="B33" s="99" t="inlineStr">
        <is>
          <t>Ranking</t>
        </is>
      </c>
      <c r="C33" s="99" t="inlineStr">
        <is>
          <t>Lawyer</t>
        </is>
      </c>
      <c r="D33" s="99" t="inlineStr">
        <is>
          <t>Firm</t>
        </is>
      </c>
      <c r="E33" s="99" t="inlineStr">
        <is>
          <t>Firm (as listed)</t>
        </is>
      </c>
    </row>
    <row r="34">
      <c r="A34" s="49" t="inlineStr">
        <is>
          <t>Chambers</t>
        </is>
      </c>
      <c r="B34" s="49" t="inlineStr">
        <is>
          <t>Band 1</t>
        </is>
      </c>
      <c r="C34" s="49" t="inlineStr">
        <is>
          <t>Jan Holmius</t>
        </is>
      </c>
      <c r="D34" s="49" t="inlineStr">
        <is>
          <t>Mannheimer Swartling</t>
        </is>
      </c>
      <c r="E34" s="49" t="inlineStr">
        <is>
          <t>Mannheimer Swartling</t>
        </is>
      </c>
    </row>
    <row r="35">
      <c r="A35" s="49" t="inlineStr">
        <is>
          <t>Chambers</t>
        </is>
      </c>
      <c r="B35" s="49" t="inlineStr">
        <is>
          <t>Band 1</t>
        </is>
      </c>
      <c r="C35" s="49" t="inlineStr">
        <is>
          <t>Malin Leffler</t>
        </is>
      </c>
      <c r="D35" s="49" t="inlineStr">
        <is>
          <t>Roschier</t>
        </is>
      </c>
      <c r="E35" s="49" t="inlineStr">
        <is>
          <t>Roschier</t>
        </is>
      </c>
    </row>
    <row r="36">
      <c r="A36" s="49" t="inlineStr">
        <is>
          <t>Chambers</t>
        </is>
      </c>
      <c r="B36" s="49" t="inlineStr">
        <is>
          <t>Band 1</t>
        </is>
      </c>
      <c r="C36" s="49" t="inlineStr">
        <is>
          <t>Christina Kokko</t>
        </is>
      </c>
      <c r="D36" s="49" t="inlineStr">
        <is>
          <t>Vinge</t>
        </is>
      </c>
      <c r="E36" s="49" t="inlineStr">
        <is>
          <t>Advokatfirman Vinge KB</t>
        </is>
      </c>
    </row>
    <row r="37">
      <c r="A37" s="49" t="inlineStr">
        <is>
          <t>Chambers</t>
        </is>
      </c>
      <c r="B37" s="49" t="inlineStr">
        <is>
          <t>Band 2</t>
        </is>
      </c>
      <c r="C37" s="49" t="inlineStr">
        <is>
          <t>Carl Westerberg</t>
        </is>
      </c>
      <c r="D37" s="49" t="inlineStr">
        <is>
          <t>Gernandt &amp; Danielsson</t>
        </is>
      </c>
      <c r="E37" s="49" t="inlineStr">
        <is>
          <t>Gernandt &amp; Danielsson Advokatbyrå KB</t>
        </is>
      </c>
    </row>
    <row r="38">
      <c r="A38" s="49" t="inlineStr">
        <is>
          <t>Chambers</t>
        </is>
      </c>
      <c r="B38" s="49" t="inlineStr">
        <is>
          <t>Band 2</t>
        </is>
      </c>
      <c r="C38" s="49" t="inlineStr">
        <is>
          <t>Jens Bengtsson</t>
        </is>
      </c>
      <c r="D38" s="49" t="inlineStr">
        <is>
          <t>Roschier</t>
        </is>
      </c>
      <c r="E38" s="49" t="inlineStr">
        <is>
          <t>Roschier</t>
        </is>
      </c>
    </row>
    <row r="39">
      <c r="A39" s="49" t="inlineStr">
        <is>
          <t>Chambers</t>
        </is>
      </c>
      <c r="B39" s="49" t="inlineStr">
        <is>
          <t>Band 2</t>
        </is>
      </c>
      <c r="C39" s="49" t="inlineStr">
        <is>
          <t>Johan Winnerblad</t>
        </is>
      </c>
      <c r="D39" s="49" t="inlineStr">
        <is>
          <t>Vinge</t>
        </is>
      </c>
      <c r="E39" s="49" t="inlineStr">
        <is>
          <t>Advokatfirman Vinge KB</t>
        </is>
      </c>
    </row>
    <row r="40">
      <c r="A40" s="49" t="inlineStr">
        <is>
          <t>Chambers</t>
        </is>
      </c>
      <c r="B40" s="49" t="inlineStr">
        <is>
          <t>Band 2</t>
        </is>
      </c>
      <c r="C40" s="49" t="inlineStr">
        <is>
          <t>Jonas Bergström</t>
        </is>
      </c>
      <c r="D40" s="49" t="inlineStr">
        <is>
          <t>Vinge</t>
        </is>
      </c>
      <c r="E40" s="49" t="inlineStr">
        <is>
          <t>Advokatfirman Vinge KB</t>
        </is>
      </c>
    </row>
    <row r="41">
      <c r="A41" s="49" t="inlineStr">
        <is>
          <t>Chambers</t>
        </is>
      </c>
      <c r="B41" s="49" t="inlineStr">
        <is>
          <t>Band 3</t>
        </is>
      </c>
      <c r="C41" s="49" t="inlineStr">
        <is>
          <t>Carl M Svernlöv</t>
        </is>
      </c>
      <c r="D41" s="49" t="inlineStr">
        <is>
          <t>Baker McKenzie</t>
        </is>
      </c>
      <c r="E41" s="49" t="inlineStr">
        <is>
          <t>Baker McKenzie</t>
        </is>
      </c>
    </row>
    <row r="42">
      <c r="A42" s="49" t="inlineStr">
        <is>
          <t>Chambers</t>
        </is>
      </c>
      <c r="B42" s="49" t="inlineStr">
        <is>
          <t>Band 3</t>
        </is>
      </c>
      <c r="C42" s="49" t="inlineStr">
        <is>
          <t>Peter Lilja</t>
        </is>
      </c>
      <c r="D42" s="49" t="inlineStr">
        <is>
          <t>Cirio</t>
        </is>
      </c>
      <c r="E42" s="49" t="inlineStr">
        <is>
          <t>Cirio Advokatbyrå AB</t>
        </is>
      </c>
    </row>
    <row r="43">
      <c r="A43" s="49" t="inlineStr">
        <is>
          <t>Chambers</t>
        </is>
      </c>
      <c r="B43" s="49" t="inlineStr">
        <is>
          <t>Band 3</t>
        </is>
      </c>
      <c r="C43" s="49" t="inlineStr">
        <is>
          <t>Fredrik Palm</t>
        </is>
      </c>
      <c r="D43" s="49" t="inlineStr">
        <is>
          <t>Gernandt &amp; Danielsson</t>
        </is>
      </c>
      <c r="E43" s="49" t="inlineStr">
        <is>
          <t>Gernandt &amp; Danielsson Advokatbyrå KB</t>
        </is>
      </c>
    </row>
    <row r="44">
      <c r="A44" s="49" t="inlineStr">
        <is>
          <t>Chambers</t>
        </is>
      </c>
      <c r="B44" s="49" t="inlineStr">
        <is>
          <t>Band 3</t>
        </is>
      </c>
      <c r="C44" s="49" t="inlineStr">
        <is>
          <t>Elisabet Lundgren</t>
        </is>
      </c>
      <c r="D44" s="49" t="inlineStr">
        <is>
          <t>Linklaters</t>
        </is>
      </c>
      <c r="E44" s="49" t="inlineStr">
        <is>
          <t>Linklaters Advokatbyrå</t>
        </is>
      </c>
    </row>
    <row r="45">
      <c r="A45" s="49" t="inlineStr">
        <is>
          <t>Chambers</t>
        </is>
      </c>
      <c r="B45" s="49" t="inlineStr">
        <is>
          <t>Band 3</t>
        </is>
      </c>
      <c r="C45" s="49" t="inlineStr">
        <is>
          <t>Isabella Ramsay</t>
        </is>
      </c>
      <c r="D45" s="49" t="inlineStr">
        <is>
          <t>Mannheimer Swartling</t>
        </is>
      </c>
      <c r="E45" s="49" t="inlineStr">
        <is>
          <t>Mannheimer Swartling</t>
        </is>
      </c>
    </row>
    <row r="46">
      <c r="A46" s="49" t="inlineStr">
        <is>
          <t>Chambers</t>
        </is>
      </c>
      <c r="B46" s="49" t="inlineStr">
        <is>
          <t>Band 3</t>
        </is>
      </c>
      <c r="C46" s="49" t="inlineStr">
        <is>
          <t>Patrik Marcelius</t>
        </is>
      </c>
      <c r="D46" s="49" t="inlineStr">
        <is>
          <t>Mannheimer Swartling</t>
        </is>
      </c>
      <c r="E46" s="49" t="inlineStr">
        <is>
          <t>Mannheimer Swartling</t>
        </is>
      </c>
    </row>
    <row r="47">
      <c r="A47" s="49" t="inlineStr">
        <is>
          <t>Chambers</t>
        </is>
      </c>
      <c r="B47" s="49" t="inlineStr">
        <is>
          <t>Band 3</t>
        </is>
      </c>
      <c r="C47" s="49" t="inlineStr">
        <is>
          <t>Björn Winström</t>
        </is>
      </c>
      <c r="D47" s="49" t="inlineStr">
        <is>
          <t>Roschier</t>
        </is>
      </c>
      <c r="E47" s="49" t="inlineStr">
        <is>
          <t>Roschier</t>
        </is>
      </c>
    </row>
    <row r="48">
      <c r="A48" s="49" t="inlineStr">
        <is>
          <t>Chambers</t>
        </is>
      </c>
      <c r="B48" s="49" t="inlineStr">
        <is>
          <t>Band 3</t>
        </is>
      </c>
      <c r="C48" s="49" t="inlineStr">
        <is>
          <t>Jonas Johansson</t>
        </is>
      </c>
      <c r="D48" s="49" t="inlineStr">
        <is>
          <t>Vinge</t>
        </is>
      </c>
      <c r="E48" s="49" t="inlineStr">
        <is>
          <t>Advokatfirman Vinge KB</t>
        </is>
      </c>
    </row>
    <row r="49">
      <c r="A49" s="49" t="inlineStr">
        <is>
          <t>Legal 500</t>
        </is>
      </c>
      <c r="B49" s="49" t="inlineStr">
        <is>
          <t>Hall of Fame</t>
        </is>
      </c>
      <c r="C49" s="49" t="inlineStr">
        <is>
          <t>Carl Svernlöv</t>
        </is>
      </c>
      <c r="D49" s="49" t="inlineStr">
        <is>
          <t>Baker McKenzie</t>
        </is>
      </c>
      <c r="E49" s="49" t="inlineStr">
        <is>
          <t>Baker McKenzie</t>
        </is>
      </c>
    </row>
    <row r="50">
      <c r="A50" s="49" t="inlineStr">
        <is>
          <t>Legal 500</t>
        </is>
      </c>
      <c r="B50" s="49" t="inlineStr">
        <is>
          <t>Hall of Fame</t>
        </is>
      </c>
      <c r="C50" s="49" t="inlineStr">
        <is>
          <t>Ola Åhman</t>
        </is>
      </c>
      <c r="D50" s="49" t="inlineStr">
        <is>
          <t>Hammarskiöld</t>
        </is>
      </c>
      <c r="E50" s="49" t="inlineStr">
        <is>
          <t>Hammarskiöld</t>
        </is>
      </c>
    </row>
    <row r="51">
      <c r="A51" s="49" t="inlineStr">
        <is>
          <t>Legal 500</t>
        </is>
      </c>
      <c r="B51" s="49" t="inlineStr">
        <is>
          <t>Hall of Fame</t>
        </is>
      </c>
      <c r="C51" s="49" t="inlineStr">
        <is>
          <t>Adam Green</t>
        </is>
      </c>
      <c r="D51" s="49" t="inlineStr">
        <is>
          <t>Mannheimer Swartling</t>
        </is>
      </c>
      <c r="E51" s="49" t="inlineStr">
        <is>
          <t>Mannheimer Swartling</t>
        </is>
      </c>
    </row>
    <row r="52">
      <c r="A52" s="49" t="inlineStr">
        <is>
          <t>Legal 500</t>
        </is>
      </c>
      <c r="B52" s="49" t="inlineStr">
        <is>
          <t>Hall of Fame</t>
        </is>
      </c>
      <c r="C52" s="49" t="inlineStr">
        <is>
          <t>Johan Hallén</t>
        </is>
      </c>
      <c r="D52" s="49" t="inlineStr">
        <is>
          <t>Setterwalls</t>
        </is>
      </c>
      <c r="E52" s="49" t="inlineStr">
        <is>
          <t>Setterwalls</t>
        </is>
      </c>
    </row>
    <row r="53">
      <c r="A53" s="49" t="inlineStr">
        <is>
          <t>Legal 500</t>
        </is>
      </c>
      <c r="B53" s="49" t="inlineStr">
        <is>
          <t>Leading partners</t>
        </is>
      </c>
      <c r="C53" s="49" t="inlineStr">
        <is>
          <t>Carl-Johan Deuschl</t>
        </is>
      </c>
      <c r="D53" s="49" t="inlineStr">
        <is>
          <t>Cederquist</t>
        </is>
      </c>
      <c r="E53" s="49" t="inlineStr">
        <is>
          <t>Advokatfirman Cederquist KB</t>
        </is>
      </c>
    </row>
    <row r="54">
      <c r="A54" s="49" t="inlineStr">
        <is>
          <t>Legal 500</t>
        </is>
      </c>
      <c r="B54" s="49" t="inlineStr">
        <is>
          <t>Leading partners</t>
        </is>
      </c>
      <c r="C54" s="49" t="inlineStr">
        <is>
          <t>Anders Malmström</t>
        </is>
      </c>
      <c r="D54" s="49" t="inlineStr">
        <is>
          <t>DLA Piper</t>
        </is>
      </c>
      <c r="E54" s="49" t="inlineStr">
        <is>
          <t>DLA Piper Sweden</t>
        </is>
      </c>
    </row>
    <row r="55">
      <c r="A55" s="49" t="inlineStr">
        <is>
          <t>Legal 500</t>
        </is>
      </c>
      <c r="B55" s="49" t="inlineStr">
        <is>
          <t>Leading partners</t>
        </is>
      </c>
      <c r="C55" s="49" t="inlineStr">
        <is>
          <t>Carl Westerberg</t>
        </is>
      </c>
      <c r="D55" s="49" t="inlineStr">
        <is>
          <t>Gernandt &amp; Danielsson</t>
        </is>
      </c>
      <c r="E55" s="49" t="inlineStr">
        <is>
          <t>Gernandt &amp; Danielsson Advokatbyrå</t>
        </is>
      </c>
    </row>
    <row r="56">
      <c r="A56" s="49" t="inlineStr">
        <is>
          <t>Legal 500</t>
        </is>
      </c>
      <c r="B56" s="49" t="inlineStr">
        <is>
          <t>Leading partners</t>
        </is>
      </c>
      <c r="C56" s="49" t="inlineStr">
        <is>
          <t>Corinne Ekman</t>
        </is>
      </c>
      <c r="D56" s="49" t="inlineStr">
        <is>
          <t>Gernandt &amp; Danielsson</t>
        </is>
      </c>
      <c r="E56" s="49" t="inlineStr">
        <is>
          <t>Gernandt &amp; Danielsson Advokatbyrå</t>
        </is>
      </c>
    </row>
    <row r="57">
      <c r="A57" s="49" t="inlineStr">
        <is>
          <t>Legal 500</t>
        </is>
      </c>
      <c r="B57" s="49" t="inlineStr">
        <is>
          <t>Leading partners</t>
        </is>
      </c>
      <c r="C57" s="49" t="inlineStr">
        <is>
          <t>Jan Holmius</t>
        </is>
      </c>
      <c r="D57" s="49" t="inlineStr">
        <is>
          <t>Mannheimer Swartling</t>
        </is>
      </c>
      <c r="E57" s="49" t="inlineStr">
        <is>
          <t>Mannheimer Swartling</t>
        </is>
      </c>
    </row>
    <row r="58">
      <c r="A58" s="49" t="inlineStr">
        <is>
          <t>Legal 500</t>
        </is>
      </c>
      <c r="B58" s="49" t="inlineStr">
        <is>
          <t>Leading partners</t>
        </is>
      </c>
      <c r="C58" s="49" t="inlineStr">
        <is>
          <t>Martin Pekkari</t>
        </is>
      </c>
      <c r="D58" s="49" t="inlineStr">
        <is>
          <t>Mannheimer Swartling</t>
        </is>
      </c>
      <c r="E58" s="49" t="inlineStr">
        <is>
          <t>Mannheimer Swartling</t>
        </is>
      </c>
    </row>
    <row r="59">
      <c r="A59" s="49" t="inlineStr">
        <is>
          <t>Legal 500</t>
        </is>
      </c>
      <c r="B59" s="49" t="inlineStr">
        <is>
          <t>Leading partners</t>
        </is>
      </c>
      <c r="C59" s="49" t="inlineStr">
        <is>
          <t>Racine Ashjari</t>
        </is>
      </c>
      <c r="D59" s="49" t="inlineStr">
        <is>
          <t>Morris Law</t>
        </is>
      </c>
      <c r="E59" s="49" t="inlineStr">
        <is>
          <t>Morris Law</t>
        </is>
      </c>
    </row>
    <row r="60">
      <c r="A60" s="49" t="inlineStr">
        <is>
          <t>Legal 500</t>
        </is>
      </c>
      <c r="B60" s="49" t="inlineStr">
        <is>
          <t>Leading partners</t>
        </is>
      </c>
      <c r="C60" s="49" t="inlineStr">
        <is>
          <t>Jens Bengtsson</t>
        </is>
      </c>
      <c r="D60" s="49" t="inlineStr">
        <is>
          <t>Roschier</t>
        </is>
      </c>
      <c r="E60" s="49" t="inlineStr">
        <is>
          <t>Roschier</t>
        </is>
      </c>
    </row>
    <row r="61">
      <c r="A61" s="49" t="inlineStr">
        <is>
          <t>Legal 500</t>
        </is>
      </c>
      <c r="B61" s="49" t="inlineStr">
        <is>
          <t>Leading partners</t>
        </is>
      </c>
      <c r="C61" s="49" t="inlineStr">
        <is>
          <t>Malin Leffler</t>
        </is>
      </c>
      <c r="D61" s="49" t="inlineStr">
        <is>
          <t>Roschier</t>
        </is>
      </c>
      <c r="E61" s="49" t="inlineStr">
        <is>
          <t>Roschier</t>
        </is>
      </c>
    </row>
    <row r="62">
      <c r="A62" s="49" t="inlineStr">
        <is>
          <t>Legal 500</t>
        </is>
      </c>
      <c r="B62" s="49" t="inlineStr">
        <is>
          <t>Leading partners</t>
        </is>
      </c>
      <c r="C62" s="49" t="inlineStr">
        <is>
          <t>Mattias Detterfelt</t>
        </is>
      </c>
      <c r="D62" s="49" t="inlineStr">
        <is>
          <t>Setterwalls</t>
        </is>
      </c>
      <c r="E62" s="49" t="inlineStr">
        <is>
          <t>Setterwalls</t>
        </is>
      </c>
    </row>
    <row r="63">
      <c r="A63" s="49" t="inlineStr">
        <is>
          <t>Legal 500</t>
        </is>
      </c>
      <c r="B63" s="49" t="inlineStr">
        <is>
          <t>Leading partners</t>
        </is>
      </c>
      <c r="C63" s="49" t="inlineStr">
        <is>
          <t>Claes Kjellberg</t>
        </is>
      </c>
      <c r="D63" s="49" t="inlineStr">
        <is>
          <t>Snellman</t>
        </is>
      </c>
      <c r="E63" s="49" t="inlineStr">
        <is>
          <t>Snellman</t>
        </is>
      </c>
    </row>
    <row r="64">
      <c r="A64" s="49" t="inlineStr">
        <is>
          <t>Legal 500</t>
        </is>
      </c>
      <c r="B64" s="49" t="inlineStr">
        <is>
          <t>Leading partners</t>
        </is>
      </c>
      <c r="C64" s="49" t="inlineStr">
        <is>
          <t>Johan Steen</t>
        </is>
      </c>
      <c r="D64" s="49" t="inlineStr">
        <is>
          <t>White &amp; Case</t>
        </is>
      </c>
      <c r="E64" s="49" t="inlineStr">
        <is>
          <t>White &amp; Case Advokat AB</t>
        </is>
      </c>
    </row>
    <row r="65">
      <c r="A65" s="49" t="inlineStr">
        <is>
          <t>Legal 500</t>
        </is>
      </c>
      <c r="B65" s="49" t="inlineStr">
        <is>
          <t>Next Generation Partners</t>
        </is>
      </c>
      <c r="C65" s="49" t="inlineStr">
        <is>
          <t>Johanna Wärnberg</t>
        </is>
      </c>
      <c r="D65" s="49" t="inlineStr">
        <is>
          <t>BAHR</t>
        </is>
      </c>
      <c r="E65" s="49" t="inlineStr">
        <is>
          <t>BAHR</t>
        </is>
      </c>
    </row>
    <row r="66">
      <c r="A66" s="49" t="inlineStr">
        <is>
          <t>Legal 500</t>
        </is>
      </c>
      <c r="B66" s="49" t="inlineStr">
        <is>
          <t>Next Generation Partners</t>
        </is>
      </c>
      <c r="C66" s="49" t="inlineStr">
        <is>
          <t>Viktor Eriksson</t>
        </is>
      </c>
      <c r="D66" s="49" t="inlineStr">
        <is>
          <t>Cederquist</t>
        </is>
      </c>
      <c r="E66" s="49" t="inlineStr">
        <is>
          <t>Advokatfirman Cederquist KB</t>
        </is>
      </c>
    </row>
    <row r="67">
      <c r="A67" s="49" t="inlineStr">
        <is>
          <t>Legal 500</t>
        </is>
      </c>
      <c r="B67" s="49" t="inlineStr">
        <is>
          <t>Next Generation Partners</t>
        </is>
      </c>
      <c r="C67" s="49" t="inlineStr">
        <is>
          <t>Rasmus Kindlund</t>
        </is>
      </c>
      <c r="D67" s="49" t="inlineStr">
        <is>
          <t>Linklaters</t>
        </is>
      </c>
      <c r="E67" s="49" t="inlineStr">
        <is>
          <t>Linklaters</t>
        </is>
      </c>
    </row>
    <row r="68">
      <c r="A68" s="49" t="inlineStr">
        <is>
          <t>Legal 500</t>
        </is>
      </c>
      <c r="B68" s="49" t="inlineStr">
        <is>
          <t>Next Generation Partners</t>
        </is>
      </c>
      <c r="C68" s="49" t="inlineStr">
        <is>
          <t>Jon Rastad</t>
        </is>
      </c>
      <c r="D68" s="49" t="inlineStr">
        <is>
          <t>Mannheimer Swartling</t>
        </is>
      </c>
      <c r="E68" s="49" t="inlineStr">
        <is>
          <t>Mannheimer Swartling</t>
        </is>
      </c>
    </row>
    <row r="70">
      <c r="A70" s="118" t="inlineStr">
        <is>
          <t>Private equity</t>
        </is>
      </c>
    </row>
    <row r="71">
      <c r="A71" s="99" t="inlineStr">
        <is>
          <t>Directory</t>
        </is>
      </c>
      <c r="B71" s="99" t="inlineStr">
        <is>
          <t>Ranking</t>
        </is>
      </c>
      <c r="C71" s="99" t="inlineStr">
        <is>
          <t>Lawyer</t>
        </is>
      </c>
      <c r="D71" s="99" t="inlineStr">
        <is>
          <t>Firm</t>
        </is>
      </c>
      <c r="E71" s="99" t="inlineStr">
        <is>
          <t>Firm (as listed)</t>
        </is>
      </c>
    </row>
    <row r="72">
      <c r="A72" s="49" t="inlineStr">
        <is>
          <t>Chambers</t>
        </is>
      </c>
      <c r="B72" s="49" t="inlineStr">
        <is>
          <t>Band 1</t>
        </is>
      </c>
      <c r="C72" s="49" t="inlineStr">
        <is>
          <t>Jens Bengtsson</t>
        </is>
      </c>
      <c r="D72" s="49" t="inlineStr">
        <is>
          <t>Roschier</t>
        </is>
      </c>
      <c r="E72" s="49" t="inlineStr">
        <is>
          <t>Roschier</t>
        </is>
      </c>
    </row>
    <row r="73">
      <c r="A73" s="49" t="inlineStr">
        <is>
          <t>Chambers</t>
        </is>
      </c>
      <c r="B73" s="49" t="inlineStr">
        <is>
          <t>Band 1</t>
        </is>
      </c>
      <c r="C73" s="49" t="inlineStr">
        <is>
          <t>Christina Kokko</t>
        </is>
      </c>
      <c r="D73" s="49" t="inlineStr">
        <is>
          <t>Vinge</t>
        </is>
      </c>
      <c r="E73" s="49" t="inlineStr">
        <is>
          <t>Advokatfirman Vinge KB</t>
        </is>
      </c>
    </row>
    <row r="74">
      <c r="A74" s="49" t="inlineStr">
        <is>
          <t>Chambers</t>
        </is>
      </c>
      <c r="B74" s="49" t="inlineStr">
        <is>
          <t>Band 2</t>
        </is>
      </c>
      <c r="C74" s="49" t="inlineStr">
        <is>
          <t>Carl Westerberg</t>
        </is>
      </c>
      <c r="D74" s="49" t="inlineStr">
        <is>
          <t>Gernandt &amp; Danielsson</t>
        </is>
      </c>
      <c r="E74" s="49" t="inlineStr">
        <is>
          <t>Gernandt &amp; Danielsson Advokatbyrå KB</t>
        </is>
      </c>
    </row>
    <row r="75">
      <c r="A75" s="49" t="inlineStr">
        <is>
          <t>Chambers</t>
        </is>
      </c>
      <c r="B75" s="49" t="inlineStr">
        <is>
          <t>Band 2</t>
        </is>
      </c>
      <c r="C75" s="49" t="inlineStr">
        <is>
          <t>Jan Holmius</t>
        </is>
      </c>
      <c r="D75" s="49" t="inlineStr">
        <is>
          <t>Mannheimer Swartling</t>
        </is>
      </c>
      <c r="E75" s="49" t="inlineStr">
        <is>
          <t>Mannheimer Swartling</t>
        </is>
      </c>
    </row>
    <row r="76">
      <c r="A76" s="49" t="inlineStr">
        <is>
          <t>Chambers</t>
        </is>
      </c>
      <c r="B76" s="49" t="inlineStr">
        <is>
          <t>Band 2</t>
        </is>
      </c>
      <c r="C76" s="49" t="inlineStr">
        <is>
          <t>Malin Leffler</t>
        </is>
      </c>
      <c r="D76" s="49" t="inlineStr">
        <is>
          <t>Roschier</t>
        </is>
      </c>
      <c r="E76" s="49" t="inlineStr">
        <is>
          <t>Roschier</t>
        </is>
      </c>
    </row>
    <row r="77">
      <c r="A77" s="49" t="inlineStr">
        <is>
          <t>Chambers</t>
        </is>
      </c>
      <c r="B77" s="49" t="inlineStr">
        <is>
          <t>Band 2</t>
        </is>
      </c>
      <c r="C77" s="49" t="inlineStr">
        <is>
          <t>Mattias Detterfelt</t>
        </is>
      </c>
      <c r="D77" s="49" t="inlineStr">
        <is>
          <t>Setterwalls</t>
        </is>
      </c>
      <c r="E77" s="49" t="inlineStr">
        <is>
          <t>Setterwalls</t>
        </is>
      </c>
    </row>
    <row r="78">
      <c r="A78" s="49" t="inlineStr">
        <is>
          <t>Chambers</t>
        </is>
      </c>
      <c r="B78" s="49" t="inlineStr">
        <is>
          <t>Band 2</t>
        </is>
      </c>
      <c r="C78" s="49" t="inlineStr">
        <is>
          <t>Jonas Bergström</t>
        </is>
      </c>
      <c r="D78" s="49" t="inlineStr">
        <is>
          <t>Vinge</t>
        </is>
      </c>
      <c r="E78" s="49" t="inlineStr">
        <is>
          <t>Advokatfirman Vinge KB</t>
        </is>
      </c>
    </row>
    <row r="79">
      <c r="A79" s="49" t="inlineStr">
        <is>
          <t>Chambers</t>
        </is>
      </c>
      <c r="B79" s="49" t="inlineStr">
        <is>
          <t>Band 3</t>
        </is>
      </c>
      <c r="C79" s="49" t="inlineStr">
        <is>
          <t>Costin Mihailescu</t>
        </is>
      </c>
      <c r="D79" s="49" t="inlineStr">
        <is>
          <t>Baker McKenzie</t>
        </is>
      </c>
      <c r="E79" s="49" t="inlineStr">
        <is>
          <t>Baker McKenzie</t>
        </is>
      </c>
    </row>
    <row r="80">
      <c r="A80" s="49" t="inlineStr">
        <is>
          <t>Chambers</t>
        </is>
      </c>
      <c r="B80" s="49" t="inlineStr">
        <is>
          <t>Band 3</t>
        </is>
      </c>
      <c r="C80" s="49" t="inlineStr">
        <is>
          <t>Mikael Moreira</t>
        </is>
      </c>
      <c r="D80" s="49" t="inlineStr">
        <is>
          <t>DLA Piper</t>
        </is>
      </c>
      <c r="E80" s="49" t="inlineStr">
        <is>
          <t>DLA Piper</t>
        </is>
      </c>
    </row>
    <row r="81">
      <c r="A81" s="49" t="inlineStr">
        <is>
          <t>Chambers</t>
        </is>
      </c>
      <c r="B81" s="49" t="inlineStr">
        <is>
          <t>Band 3</t>
        </is>
      </c>
      <c r="C81" s="49" t="inlineStr">
        <is>
          <t>Isabella Ramsay</t>
        </is>
      </c>
      <c r="D81" s="49" t="inlineStr">
        <is>
          <t>Mannheimer Swartling</t>
        </is>
      </c>
      <c r="E81" s="49" t="inlineStr">
        <is>
          <t>Mannheimer Swartling</t>
        </is>
      </c>
    </row>
    <row r="82">
      <c r="A82" s="49" t="inlineStr">
        <is>
          <t>Chambers</t>
        </is>
      </c>
      <c r="B82" s="49" t="inlineStr">
        <is>
          <t>Band 3</t>
        </is>
      </c>
      <c r="C82" s="49" t="inlineStr">
        <is>
          <t>Mikael Klang</t>
        </is>
      </c>
      <c r="D82" s="49" t="inlineStr">
        <is>
          <t>Snellman</t>
        </is>
      </c>
      <c r="E82" s="49" t="inlineStr">
        <is>
          <t>Snellman Advokatbyrå AB</t>
        </is>
      </c>
    </row>
    <row r="83">
      <c r="A83" s="49" t="inlineStr">
        <is>
          <t>Chambers</t>
        </is>
      </c>
      <c r="B83" s="49" t="inlineStr">
        <is>
          <t>Band 3</t>
        </is>
      </c>
      <c r="C83" s="49" t="inlineStr">
        <is>
          <t>Johan Winnerblad</t>
        </is>
      </c>
      <c r="D83" s="49" t="inlineStr">
        <is>
          <t>Vinge</t>
        </is>
      </c>
      <c r="E83" s="49" t="inlineStr">
        <is>
          <t>Advokatfirman Vinge KB</t>
        </is>
      </c>
    </row>
    <row r="84">
      <c r="A84" s="49" t="inlineStr">
        <is>
          <t>Chambers</t>
        </is>
      </c>
      <c r="B84" s="49" t="inlineStr">
        <is>
          <t>Band 3</t>
        </is>
      </c>
      <c r="C84" s="49" t="inlineStr">
        <is>
          <t>Jonas Johansson</t>
        </is>
      </c>
      <c r="D84" s="49" t="inlineStr">
        <is>
          <t>Vinge</t>
        </is>
      </c>
      <c r="E84" s="49" t="inlineStr">
        <is>
          <t>Advokatfirman Vinge KB</t>
        </is>
      </c>
    </row>
    <row r="85">
      <c r="A85" s="49" t="inlineStr">
        <is>
          <t>Chambers</t>
        </is>
      </c>
      <c r="B85" s="49" t="inlineStr">
        <is>
          <t>Band 3</t>
        </is>
      </c>
      <c r="C85" s="49" t="inlineStr">
        <is>
          <t>Johan Steen</t>
        </is>
      </c>
      <c r="D85" s="49" t="inlineStr">
        <is>
          <t>White &amp; Case</t>
        </is>
      </c>
      <c r="E85" s="49" t="inlineStr">
        <is>
          <t>White &amp; Case Advokat AB</t>
        </is>
      </c>
    </row>
    <row r="86">
      <c r="A86" s="49" t="inlineStr">
        <is>
          <t>Chambers</t>
        </is>
      </c>
      <c r="B86" s="49" t="inlineStr">
        <is>
          <t>Band 3</t>
        </is>
      </c>
      <c r="C86" s="49" t="inlineStr">
        <is>
          <t>Shoan Panahi</t>
        </is>
      </c>
      <c r="D86" s="49" t="inlineStr">
        <is>
          <t>White &amp; Case</t>
        </is>
      </c>
      <c r="E86" s="49" t="inlineStr">
        <is>
          <t>White &amp; Case Advokat AB</t>
        </is>
      </c>
    </row>
    <row r="88">
      <c r="A88" s="118" t="inlineStr">
        <is>
          <t>Banking &amp; finance</t>
        </is>
      </c>
    </row>
    <row r="89">
      <c r="A89" s="99" t="inlineStr">
        <is>
          <t>Directory</t>
        </is>
      </c>
      <c r="B89" s="99" t="inlineStr">
        <is>
          <t>Ranking</t>
        </is>
      </c>
      <c r="C89" s="99" t="inlineStr">
        <is>
          <t>Lawyer</t>
        </is>
      </c>
      <c r="D89" s="99" t="inlineStr">
        <is>
          <t>Firm</t>
        </is>
      </c>
      <c r="E89" s="99" t="inlineStr">
        <is>
          <t>Firm (as listed)</t>
        </is>
      </c>
    </row>
    <row r="90">
      <c r="A90" s="49" t="inlineStr">
        <is>
          <t>Chambers</t>
        </is>
      </c>
      <c r="B90" s="49" t="inlineStr">
        <is>
          <t>Band 1</t>
        </is>
      </c>
      <c r="C90" s="49" t="inlineStr">
        <is>
          <t>Per Henriksson</t>
        </is>
      </c>
      <c r="D90" s="49" t="inlineStr">
        <is>
          <t>Cederquist</t>
        </is>
      </c>
      <c r="E90" s="49" t="inlineStr">
        <is>
          <t>Advokatfirman Cederquist KB</t>
        </is>
      </c>
    </row>
    <row r="91">
      <c r="A91" s="49" t="inlineStr">
        <is>
          <t>Chambers</t>
        </is>
      </c>
      <c r="B91" s="49" t="inlineStr">
        <is>
          <t>Band 1</t>
        </is>
      </c>
      <c r="C91" s="49" t="inlineStr">
        <is>
          <t>Daniel Karlsson</t>
        </is>
      </c>
      <c r="D91" s="49" t="inlineStr">
        <is>
          <t>Mannheimer Swartling</t>
        </is>
      </c>
      <c r="E91" s="49" t="inlineStr">
        <is>
          <t>Mannheimer Swartling</t>
        </is>
      </c>
    </row>
    <row r="92">
      <c r="A92" s="49" t="inlineStr">
        <is>
          <t>Chambers</t>
        </is>
      </c>
      <c r="B92" s="49" t="inlineStr">
        <is>
          <t>Band 1</t>
        </is>
      </c>
      <c r="C92" s="49" t="inlineStr">
        <is>
          <t>Johan Lundberg</t>
        </is>
      </c>
      <c r="D92" s="49" t="inlineStr">
        <is>
          <t>RE:FI STHLM</t>
        </is>
      </c>
      <c r="E92" s="49" t="inlineStr">
        <is>
          <t>RE:FI STHLM</t>
        </is>
      </c>
    </row>
    <row r="93">
      <c r="A93" s="49" t="inlineStr">
        <is>
          <t>Chambers</t>
        </is>
      </c>
      <c r="B93" s="49" t="inlineStr">
        <is>
          <t>Band 2</t>
        </is>
      </c>
      <c r="C93" s="49" t="inlineStr">
        <is>
          <t>Magnus Wennerhorn</t>
        </is>
      </c>
      <c r="D93" s="49" t="inlineStr">
        <is>
          <t>Linklaters</t>
        </is>
      </c>
      <c r="E93" s="49" t="inlineStr">
        <is>
          <t>Linklaters Advokatbyrå</t>
        </is>
      </c>
    </row>
    <row r="94">
      <c r="A94" s="49" t="inlineStr">
        <is>
          <t>Chambers</t>
        </is>
      </c>
      <c r="B94" s="49" t="inlineStr">
        <is>
          <t>Band 2</t>
        </is>
      </c>
      <c r="C94" s="49" t="inlineStr">
        <is>
          <t>Andreas Zettergren</t>
        </is>
      </c>
      <c r="D94" s="49" t="inlineStr">
        <is>
          <t>Mannheimer Swartling</t>
        </is>
      </c>
      <c r="E94" s="49" t="inlineStr">
        <is>
          <t>Mannheimer Swartling</t>
        </is>
      </c>
    </row>
    <row r="95">
      <c r="A95" s="49" t="inlineStr">
        <is>
          <t>Chambers</t>
        </is>
      </c>
      <c r="B95" s="49" t="inlineStr">
        <is>
          <t>Band 2</t>
        </is>
      </c>
      <c r="C95" s="49" t="inlineStr">
        <is>
          <t>Carl Lindencrona</t>
        </is>
      </c>
      <c r="D95" s="49" t="inlineStr">
        <is>
          <t>Setterwalls</t>
        </is>
      </c>
      <c r="E95" s="49" t="inlineStr">
        <is>
          <t>Setterwalls</t>
        </is>
      </c>
    </row>
    <row r="96">
      <c r="A96" s="49" t="inlineStr">
        <is>
          <t>Chambers</t>
        </is>
      </c>
      <c r="B96" s="49" t="inlineStr">
        <is>
          <t>Band 2</t>
        </is>
      </c>
      <c r="C96" s="49" t="inlineStr">
        <is>
          <t>Mikael Magnusson</t>
        </is>
      </c>
      <c r="D96" s="49" t="inlineStr">
        <is>
          <t>Setterwalls</t>
        </is>
      </c>
      <c r="E96" s="49" t="inlineStr">
        <is>
          <t>Setterwalls</t>
        </is>
      </c>
    </row>
    <row r="97">
      <c r="A97" s="49" t="inlineStr">
        <is>
          <t>Chambers</t>
        </is>
      </c>
      <c r="B97" s="49" t="inlineStr">
        <is>
          <t>Band 2</t>
        </is>
      </c>
      <c r="C97" s="49" t="inlineStr">
        <is>
          <t>Oscar Liljeson</t>
        </is>
      </c>
      <c r="D97" s="49" t="inlineStr">
        <is>
          <t>White &amp; Case</t>
        </is>
      </c>
      <c r="E97" s="49" t="inlineStr">
        <is>
          <t>White &amp; Case Advokat AB</t>
        </is>
      </c>
    </row>
    <row r="98">
      <c r="A98" s="49" t="inlineStr">
        <is>
          <t>Chambers</t>
        </is>
      </c>
      <c r="B98" s="49" t="inlineStr">
        <is>
          <t>Band 3</t>
        </is>
      </c>
      <c r="C98" s="49" t="inlineStr">
        <is>
          <t>Mats Rooth</t>
        </is>
      </c>
      <c r="D98" s="49" t="inlineStr">
        <is>
          <t>Baker McKenzie</t>
        </is>
      </c>
      <c r="E98" s="49" t="inlineStr">
        <is>
          <t>Baker McKenzie</t>
        </is>
      </c>
    </row>
    <row r="99">
      <c r="A99" s="49" t="inlineStr">
        <is>
          <t>Chambers</t>
        </is>
      </c>
      <c r="B99" s="49" t="inlineStr">
        <is>
          <t>Band 3</t>
        </is>
      </c>
      <c r="C99" s="49" t="inlineStr">
        <is>
          <t>Jesper Johansson</t>
        </is>
      </c>
      <c r="D99" s="49" t="inlineStr">
        <is>
          <t>Cirio</t>
        </is>
      </c>
      <c r="E99" s="49" t="inlineStr">
        <is>
          <t>Cirio Advokatbyrå AB</t>
        </is>
      </c>
    </row>
    <row r="100">
      <c r="A100" s="49" t="inlineStr">
        <is>
          <t>Chambers</t>
        </is>
      </c>
      <c r="B100" s="49" t="inlineStr">
        <is>
          <t>Band 3</t>
        </is>
      </c>
      <c r="C100" s="49" t="inlineStr">
        <is>
          <t>Mikael Bolling</t>
        </is>
      </c>
      <c r="D100" s="49" t="inlineStr">
        <is>
          <t>Gernandt &amp; Danielsson</t>
        </is>
      </c>
      <c r="E100" s="49" t="inlineStr">
        <is>
          <t>Gernandt &amp; Danielsson Advokatbyrå KB</t>
        </is>
      </c>
    </row>
    <row r="101">
      <c r="A101" s="49" t="inlineStr">
        <is>
          <t>Chambers</t>
        </is>
      </c>
      <c r="B101" s="49" t="inlineStr">
        <is>
          <t>Band 3</t>
        </is>
      </c>
      <c r="C101" s="49" t="inlineStr">
        <is>
          <t>Daniel Khayyami</t>
        </is>
      </c>
      <c r="D101" s="49" t="inlineStr">
        <is>
          <t>Mannheimer Swartling</t>
        </is>
      </c>
      <c r="E101" s="49" t="inlineStr">
        <is>
          <t>Mannheimer Swartling</t>
        </is>
      </c>
    </row>
    <row r="102">
      <c r="A102" s="49" t="inlineStr">
        <is>
          <t>Chambers</t>
        </is>
      </c>
      <c r="B102" s="49" t="inlineStr">
        <is>
          <t>Band 3</t>
        </is>
      </c>
      <c r="C102" s="49" t="inlineStr">
        <is>
          <t>Zoran Stambolovski</t>
        </is>
      </c>
      <c r="D102" s="49" t="inlineStr">
        <is>
          <t>Mannheimer Swartling</t>
        </is>
      </c>
      <c r="E102" s="49" t="inlineStr">
        <is>
          <t>Mannheimer Swartling</t>
        </is>
      </c>
    </row>
    <row r="103">
      <c r="A103" s="49" t="inlineStr">
        <is>
          <t>Chambers</t>
        </is>
      </c>
      <c r="B103" s="49" t="inlineStr">
        <is>
          <t>Band 3</t>
        </is>
      </c>
      <c r="C103" s="49" t="inlineStr">
        <is>
          <t>Veronica Stiller</t>
        </is>
      </c>
      <c r="D103" s="49" t="inlineStr">
        <is>
          <t>Roschier</t>
        </is>
      </c>
      <c r="E103" s="49" t="inlineStr">
        <is>
          <t>Roschier</t>
        </is>
      </c>
    </row>
    <row r="104">
      <c r="A104" s="49" t="inlineStr">
        <is>
          <t>Chambers</t>
        </is>
      </c>
      <c r="B104" s="49" t="inlineStr">
        <is>
          <t>Band 3</t>
        </is>
      </c>
      <c r="C104" s="49" t="inlineStr">
        <is>
          <t>Cecilia Rudels</t>
        </is>
      </c>
      <c r="D104" s="49" t="inlineStr">
        <is>
          <t>TM &amp; Partners</t>
        </is>
      </c>
      <c r="E104" s="49" t="inlineStr">
        <is>
          <t>TM &amp; Partners</t>
        </is>
      </c>
    </row>
    <row r="105">
      <c r="A105" s="49" t="inlineStr">
        <is>
          <t>Chambers</t>
        </is>
      </c>
      <c r="B105" s="49" t="inlineStr">
        <is>
          <t>Band 3</t>
        </is>
      </c>
      <c r="C105" s="49" t="inlineStr">
        <is>
          <t>Tobhias Brandell</t>
        </is>
      </c>
      <c r="D105" s="49" t="inlineStr">
        <is>
          <t>TM &amp; Partners</t>
        </is>
      </c>
      <c r="E105" s="49" t="inlineStr">
        <is>
          <t>TM &amp; Partners</t>
        </is>
      </c>
    </row>
    <row r="106">
      <c r="A106" s="49" t="inlineStr">
        <is>
          <t>Chambers</t>
        </is>
      </c>
      <c r="B106" s="49" t="inlineStr">
        <is>
          <t>Band 3</t>
        </is>
      </c>
      <c r="C106" s="49" t="inlineStr">
        <is>
          <t>Albert Wållgren</t>
        </is>
      </c>
      <c r="D106" s="49" t="inlineStr">
        <is>
          <t>Vinge</t>
        </is>
      </c>
      <c r="E106" s="49" t="inlineStr">
        <is>
          <t>Advokatfirman Vinge KB</t>
        </is>
      </c>
    </row>
    <row r="107">
      <c r="A107" s="49" t="inlineStr">
        <is>
          <t>Chambers</t>
        </is>
      </c>
      <c r="B107" s="49" t="inlineStr">
        <is>
          <t>Band 3</t>
        </is>
      </c>
      <c r="C107" s="49" t="inlineStr">
        <is>
          <t>Mikael Ståhl</t>
        </is>
      </c>
      <c r="D107" s="49" t="inlineStr">
        <is>
          <t>Vinge</t>
        </is>
      </c>
      <c r="E107" s="49" t="inlineStr">
        <is>
          <t>Advokatfirman Vinge KB</t>
        </is>
      </c>
    </row>
    <row r="108">
      <c r="A108" s="49" t="inlineStr">
        <is>
          <t>Legal 500</t>
        </is>
      </c>
      <c r="B108" s="49" t="inlineStr">
        <is>
          <t>Hall of Fame</t>
        </is>
      </c>
      <c r="C108" s="49" t="inlineStr">
        <is>
          <t>Magnus Wennerhorn</t>
        </is>
      </c>
      <c r="D108" s="49" t="inlineStr">
        <is>
          <t>Linklaters</t>
        </is>
      </c>
      <c r="E108" s="49" t="inlineStr">
        <is>
          <t>Linklaters</t>
        </is>
      </c>
    </row>
    <row r="109">
      <c r="A109" s="49" t="inlineStr">
        <is>
          <t>Legal 500</t>
        </is>
      </c>
      <c r="B109" s="49" t="inlineStr">
        <is>
          <t>Hall of Fame</t>
        </is>
      </c>
      <c r="C109" s="49" t="inlineStr">
        <is>
          <t>Fredrik Olsson</t>
        </is>
      </c>
      <c r="D109" s="49" t="inlineStr">
        <is>
          <t>Snellman</t>
        </is>
      </c>
      <c r="E109" s="49" t="inlineStr">
        <is>
          <t>Snellman</t>
        </is>
      </c>
    </row>
    <row r="110">
      <c r="A110" s="49" t="inlineStr">
        <is>
          <t>Legal 500</t>
        </is>
      </c>
      <c r="B110" s="49" t="inlineStr">
        <is>
          <t>Leading partners</t>
        </is>
      </c>
      <c r="C110" s="49" t="inlineStr">
        <is>
          <t>Jesper Johansson</t>
        </is>
      </c>
      <c r="D110" s="49" t="inlineStr">
        <is>
          <t>Cirio</t>
        </is>
      </c>
      <c r="E110" s="49" t="inlineStr">
        <is>
          <t>Cirio Advokatbyrå AB</t>
        </is>
      </c>
    </row>
    <row r="111">
      <c r="A111" s="49" t="inlineStr">
        <is>
          <t>Legal 500</t>
        </is>
      </c>
      <c r="B111" s="49" t="inlineStr">
        <is>
          <t>Leading partners</t>
        </is>
      </c>
      <c r="C111" s="49" t="inlineStr">
        <is>
          <t>Björn Svensson</t>
        </is>
      </c>
      <c r="D111" s="49" t="inlineStr">
        <is>
          <t>Gernandt &amp; Danielsson</t>
        </is>
      </c>
      <c r="E111" s="49" t="inlineStr">
        <is>
          <t>Gernandt &amp; Danielsson Advokatbyrå</t>
        </is>
      </c>
    </row>
    <row r="112">
      <c r="A112" s="49" t="inlineStr">
        <is>
          <t>Legal 500</t>
        </is>
      </c>
      <c r="B112" s="49" t="inlineStr">
        <is>
          <t>Leading partners</t>
        </is>
      </c>
      <c r="C112" s="49" t="inlineStr">
        <is>
          <t>Niclas Rockborn</t>
        </is>
      </c>
      <c r="D112" s="49" t="inlineStr">
        <is>
          <t>Gernandt &amp; Danielsson</t>
        </is>
      </c>
      <c r="E112" s="49" t="inlineStr">
        <is>
          <t>Gernandt &amp; Danielsson Advokatbyrå</t>
        </is>
      </c>
    </row>
    <row r="113">
      <c r="A113" s="49" t="inlineStr">
        <is>
          <t>Legal 500</t>
        </is>
      </c>
      <c r="B113" s="49" t="inlineStr">
        <is>
          <t>Leading partners</t>
        </is>
      </c>
      <c r="C113" s="49" t="inlineStr">
        <is>
          <t>Sofie Viktorsson</t>
        </is>
      </c>
      <c r="D113" s="49" t="inlineStr">
        <is>
          <t>Gernandt &amp; Danielsson</t>
        </is>
      </c>
      <c r="E113" s="49" t="inlineStr">
        <is>
          <t>Gernandt &amp; Danielsson Advokatbyrå</t>
        </is>
      </c>
    </row>
    <row r="114">
      <c r="A114" s="49" t="inlineStr">
        <is>
          <t>Legal 500</t>
        </is>
      </c>
      <c r="B114" s="49" t="inlineStr">
        <is>
          <t>Leading partners</t>
        </is>
      </c>
      <c r="C114" s="49" t="inlineStr">
        <is>
          <t>Mattias Anjou</t>
        </is>
      </c>
      <c r="D114" s="49" t="inlineStr">
        <is>
          <t>Hammarskiöld</t>
        </is>
      </c>
      <c r="E114" s="49" t="inlineStr">
        <is>
          <t>Hammarskiöld</t>
        </is>
      </c>
    </row>
    <row r="115">
      <c r="A115" s="49" t="inlineStr">
        <is>
          <t>Legal 500</t>
        </is>
      </c>
      <c r="B115" s="49" t="inlineStr">
        <is>
          <t>Leading partners</t>
        </is>
      </c>
      <c r="C115" s="49" t="inlineStr">
        <is>
          <t>Björn Wendleby</t>
        </is>
      </c>
      <c r="D115" s="49" t="inlineStr">
        <is>
          <t>Harvest</t>
        </is>
      </c>
      <c r="E115" s="49" t="inlineStr">
        <is>
          <t>Harvest Advokatbyrå</t>
        </is>
      </c>
    </row>
    <row r="116">
      <c r="A116" s="49" t="inlineStr">
        <is>
          <t>Legal 500</t>
        </is>
      </c>
      <c r="B116" s="49" t="inlineStr">
        <is>
          <t>Leading partners</t>
        </is>
      </c>
      <c r="C116" s="49" t="inlineStr">
        <is>
          <t>Andreas Zettergren</t>
        </is>
      </c>
      <c r="D116" s="49" t="inlineStr">
        <is>
          <t>Mannheimer Swartling</t>
        </is>
      </c>
      <c r="E116" s="49" t="inlineStr">
        <is>
          <t>Mannheimer Swartling</t>
        </is>
      </c>
    </row>
    <row r="117">
      <c r="A117" s="49" t="inlineStr">
        <is>
          <t>Legal 500</t>
        </is>
      </c>
      <c r="B117" s="49" t="inlineStr">
        <is>
          <t>Leading partners</t>
        </is>
      </c>
      <c r="C117" s="49" t="inlineStr">
        <is>
          <t>Daniel Karlsson</t>
        </is>
      </c>
      <c r="D117" s="49" t="inlineStr">
        <is>
          <t>Mannheimer Swartling</t>
        </is>
      </c>
      <c r="E117" s="49" t="inlineStr">
        <is>
          <t>Mannheimer Swartling</t>
        </is>
      </c>
    </row>
    <row r="118">
      <c r="A118" s="49" t="inlineStr">
        <is>
          <t>Legal 500</t>
        </is>
      </c>
      <c r="B118" s="49" t="inlineStr">
        <is>
          <t>Leading partners</t>
        </is>
      </c>
      <c r="C118" s="49" t="inlineStr">
        <is>
          <t>Zoran Stambolovski</t>
        </is>
      </c>
      <c r="D118" s="49" t="inlineStr">
        <is>
          <t>Mannheimer Swartling</t>
        </is>
      </c>
      <c r="E118" s="49" t="inlineStr">
        <is>
          <t>Mannheimer Swartling</t>
        </is>
      </c>
    </row>
    <row r="119">
      <c r="A119" s="49" t="inlineStr">
        <is>
          <t>Legal 500</t>
        </is>
      </c>
      <c r="B119" s="49" t="inlineStr">
        <is>
          <t>Leading partners</t>
        </is>
      </c>
      <c r="C119" s="49" t="inlineStr">
        <is>
          <t>Veronica Stiller</t>
        </is>
      </c>
      <c r="D119" s="49" t="inlineStr">
        <is>
          <t>Roschier</t>
        </is>
      </c>
      <c r="E119" s="49" t="inlineStr">
        <is>
          <t>Roschier</t>
        </is>
      </c>
    </row>
    <row r="120">
      <c r="A120" s="49" t="inlineStr">
        <is>
          <t>Legal 500</t>
        </is>
      </c>
      <c r="B120" s="49" t="inlineStr">
        <is>
          <t>Leading partners</t>
        </is>
      </c>
      <c r="C120" s="49" t="inlineStr">
        <is>
          <t>Carl Lindencrona</t>
        </is>
      </c>
      <c r="D120" s="49" t="inlineStr">
        <is>
          <t>Setterwalls</t>
        </is>
      </c>
      <c r="E120" s="49" t="inlineStr">
        <is>
          <t>Setterwalls</t>
        </is>
      </c>
    </row>
    <row r="121">
      <c r="A121" s="49" t="inlineStr">
        <is>
          <t>Legal 500</t>
        </is>
      </c>
      <c r="B121" s="49" t="inlineStr">
        <is>
          <t>Leading partners</t>
        </is>
      </c>
      <c r="C121" s="49" t="inlineStr">
        <is>
          <t>Mikael Magnusson</t>
        </is>
      </c>
      <c r="D121" s="49" t="inlineStr">
        <is>
          <t>Setterwalls</t>
        </is>
      </c>
      <c r="E121" s="49" t="inlineStr">
        <is>
          <t>Setterwalls</t>
        </is>
      </c>
    </row>
    <row r="122">
      <c r="A122" s="49" t="inlineStr">
        <is>
          <t>Legal 500</t>
        </is>
      </c>
      <c r="B122" s="49" t="inlineStr">
        <is>
          <t>Leading partners</t>
        </is>
      </c>
      <c r="C122" s="49" t="inlineStr">
        <is>
          <t>Oscar Liljeson</t>
        </is>
      </c>
      <c r="D122" s="49" t="inlineStr">
        <is>
          <t>White &amp; Case</t>
        </is>
      </c>
      <c r="E122" s="49" t="inlineStr">
        <is>
          <t>White &amp; Case Advokat AB</t>
        </is>
      </c>
    </row>
    <row r="123">
      <c r="A123" s="49" t="inlineStr">
        <is>
          <t>Legal 500</t>
        </is>
      </c>
      <c r="B123" s="49" t="inlineStr">
        <is>
          <t>Next Generation Partners</t>
        </is>
      </c>
      <c r="C123" s="49" t="inlineStr">
        <is>
          <t>Berndt Pettersson</t>
        </is>
      </c>
      <c r="D123" s="49" t="inlineStr">
        <is>
          <t>Cederquist</t>
        </is>
      </c>
      <c r="E123" s="49" t="inlineStr">
        <is>
          <t>Advokatfirman Cederquist KB</t>
        </is>
      </c>
    </row>
    <row r="124">
      <c r="A124" s="49" t="inlineStr">
        <is>
          <t>Legal 500</t>
        </is>
      </c>
      <c r="B124" s="49" t="inlineStr">
        <is>
          <t>Next Generation Partners</t>
        </is>
      </c>
      <c r="C124" s="49" t="inlineStr">
        <is>
          <t>Joséphine Tessmar</t>
        </is>
      </c>
      <c r="D124" s="49" t="inlineStr">
        <is>
          <t>DLA Piper</t>
        </is>
      </c>
      <c r="E124" s="49" t="inlineStr">
        <is>
          <t>DLA Piper Sweden</t>
        </is>
      </c>
    </row>
    <row r="125">
      <c r="A125" s="49" t="inlineStr">
        <is>
          <t>Legal 500</t>
        </is>
      </c>
      <c r="B125" s="49" t="inlineStr">
        <is>
          <t>Next Generation Partners</t>
        </is>
      </c>
      <c r="C125" s="49" t="inlineStr">
        <is>
          <t>Rasmus Fahlén</t>
        </is>
      </c>
      <c r="D125" s="49" t="inlineStr">
        <is>
          <t>Hammarskiöld</t>
        </is>
      </c>
      <c r="E125" s="49" t="inlineStr">
        <is>
          <t>Hammarskiöld</t>
        </is>
      </c>
    </row>
    <row r="126">
      <c r="A126" s="49" t="inlineStr">
        <is>
          <t>Legal 500</t>
        </is>
      </c>
      <c r="B126" s="49" t="inlineStr">
        <is>
          <t>Next Generation Partners</t>
        </is>
      </c>
      <c r="C126" s="49" t="inlineStr">
        <is>
          <t>Daniel Khayyami</t>
        </is>
      </c>
      <c r="D126" s="49" t="inlineStr">
        <is>
          <t>Mannheimer Swartling</t>
        </is>
      </c>
      <c r="E126" s="49" t="inlineStr">
        <is>
          <t>Mannheimer Swartling</t>
        </is>
      </c>
    </row>
    <row r="127">
      <c r="A127" s="49" t="inlineStr">
        <is>
          <t>Legal 500</t>
        </is>
      </c>
      <c r="B127" s="49" t="inlineStr">
        <is>
          <t>Next Generation Partners</t>
        </is>
      </c>
      <c r="C127" s="49" t="inlineStr">
        <is>
          <t>Carl Brodén</t>
        </is>
      </c>
      <c r="D127" s="49" t="inlineStr">
        <is>
          <t>Roschier</t>
        </is>
      </c>
      <c r="E127" s="49" t="inlineStr">
        <is>
          <t>Roschier</t>
        </is>
      </c>
    </row>
    <row r="128">
      <c r="A128" s="49" t="inlineStr">
        <is>
          <t>Legal 500</t>
        </is>
      </c>
      <c r="B128" s="49" t="inlineStr">
        <is>
          <t>Next Generation Partners</t>
        </is>
      </c>
      <c r="C128" s="49" t="inlineStr">
        <is>
          <t>Carolina Wahlby</t>
        </is>
      </c>
      <c r="D128" s="49" t="inlineStr">
        <is>
          <t>Snellman</t>
        </is>
      </c>
      <c r="E128" s="49" t="inlineStr">
        <is>
          <t>Snellman</t>
        </is>
      </c>
    </row>
    <row r="130">
      <c r="A130" s="118" t="inlineStr">
        <is>
          <t>Dispute resolution</t>
        </is>
      </c>
    </row>
    <row r="131">
      <c r="A131" s="99" t="inlineStr">
        <is>
          <t>Directory</t>
        </is>
      </c>
      <c r="B131" s="99" t="inlineStr">
        <is>
          <t>Ranking</t>
        </is>
      </c>
      <c r="C131" s="99" t="inlineStr">
        <is>
          <t>Lawyer</t>
        </is>
      </c>
      <c r="D131" s="99" t="inlineStr">
        <is>
          <t>Firm</t>
        </is>
      </c>
      <c r="E131" s="99" t="inlineStr">
        <is>
          <t>Firm (as listed)</t>
        </is>
      </c>
    </row>
    <row r="132">
      <c r="A132" s="49" t="inlineStr">
        <is>
          <t>Chambers</t>
        </is>
      </c>
      <c r="B132" s="49" t="inlineStr">
        <is>
          <t>Band 1</t>
        </is>
      </c>
      <c r="C132" s="49" t="inlineStr">
        <is>
          <t>Kristoffer Löf</t>
        </is>
      </c>
      <c r="D132" s="49" t="inlineStr">
        <is>
          <t>Mannheimer Swartling</t>
        </is>
      </c>
      <c r="E132" s="49" t="inlineStr">
        <is>
          <t>Mannheimer Swartling</t>
        </is>
      </c>
    </row>
    <row r="133">
      <c r="A133" s="49" t="inlineStr">
        <is>
          <t>Chambers</t>
        </is>
      </c>
      <c r="B133" s="49" t="inlineStr">
        <is>
          <t>Band 1</t>
        </is>
      </c>
      <c r="C133" s="49" t="inlineStr">
        <is>
          <t>Robin Oldenstam</t>
        </is>
      </c>
      <c r="D133" s="49" t="inlineStr">
        <is>
          <t>Mannheimer Swartling</t>
        </is>
      </c>
      <c r="E133" s="49" t="inlineStr">
        <is>
          <t>Mannheimer Swartling</t>
        </is>
      </c>
    </row>
    <row r="134">
      <c r="A134" s="49" t="inlineStr">
        <is>
          <t>Chambers</t>
        </is>
      </c>
      <c r="B134" s="49" t="inlineStr">
        <is>
          <t>Band 1</t>
        </is>
      </c>
      <c r="C134" s="49" t="inlineStr">
        <is>
          <t>Johan Sidklev</t>
        </is>
      </c>
      <c r="D134" s="49" t="inlineStr">
        <is>
          <t>Roschier</t>
        </is>
      </c>
      <c r="E134" s="49" t="inlineStr">
        <is>
          <t>Roschier</t>
        </is>
      </c>
    </row>
    <row r="135">
      <c r="A135" s="49" t="inlineStr">
        <is>
          <t>Chambers</t>
        </is>
      </c>
      <c r="B135" s="49" t="inlineStr">
        <is>
          <t>Band 1</t>
        </is>
      </c>
      <c r="C135" s="49" t="inlineStr">
        <is>
          <t>Anders Reldén</t>
        </is>
      </c>
      <c r="D135" s="49" t="inlineStr">
        <is>
          <t>White &amp; Case</t>
        </is>
      </c>
      <c r="E135" s="49" t="inlineStr">
        <is>
          <t>White &amp; Case Advokat AB</t>
        </is>
      </c>
    </row>
    <row r="136">
      <c r="A136" s="49" t="inlineStr">
        <is>
          <t>Chambers</t>
        </is>
      </c>
      <c r="B136" s="49" t="inlineStr">
        <is>
          <t>Band 2</t>
        </is>
      </c>
      <c r="C136" s="49" t="inlineStr">
        <is>
          <t>Torgny Wetterberg</t>
        </is>
      </c>
      <c r="D136" s="49" t="inlineStr">
        <is>
          <t>A1 Advokater</t>
        </is>
      </c>
      <c r="E136" s="49" t="inlineStr">
        <is>
          <t>A1 Advokater</t>
        </is>
      </c>
    </row>
    <row r="137">
      <c r="A137" s="49" t="inlineStr">
        <is>
          <t>Chambers</t>
        </is>
      </c>
      <c r="B137" s="49" t="inlineStr">
        <is>
          <t>Band 2</t>
        </is>
      </c>
      <c r="C137" s="49" t="inlineStr">
        <is>
          <t>Erik Wernberg</t>
        </is>
      </c>
      <c r="D137" s="49" t="inlineStr">
        <is>
          <t>Cederquist</t>
        </is>
      </c>
      <c r="E137" s="49" t="inlineStr">
        <is>
          <t>Advokatfirman Cederquist KB</t>
        </is>
      </c>
    </row>
    <row r="138">
      <c r="A138" s="49" t="inlineStr">
        <is>
          <t>Chambers</t>
        </is>
      </c>
      <c r="B138" s="49" t="inlineStr">
        <is>
          <t>Band 2</t>
        </is>
      </c>
      <c r="C138" s="49" t="inlineStr">
        <is>
          <t>Fredrik Forssman</t>
        </is>
      </c>
      <c r="D138" s="49" t="inlineStr">
        <is>
          <t>Cederquist</t>
        </is>
      </c>
      <c r="E138" s="49" t="inlineStr">
        <is>
          <t>Advokatfirman Cederquist KB</t>
        </is>
      </c>
    </row>
    <row r="139">
      <c r="A139" s="49" t="inlineStr">
        <is>
          <t>Chambers</t>
        </is>
      </c>
      <c r="B139" s="49" t="inlineStr">
        <is>
          <t>Band 2</t>
        </is>
      </c>
      <c r="C139" s="49" t="inlineStr">
        <is>
          <t>Magnus Eriksson</t>
        </is>
      </c>
      <c r="D139" s="49" t="inlineStr">
        <is>
          <t>Kastell</t>
        </is>
      </c>
      <c r="E139" s="49" t="inlineStr">
        <is>
          <t>Kastell Advokatbyrå</t>
        </is>
      </c>
    </row>
    <row r="140">
      <c r="A140" s="49" t="inlineStr">
        <is>
          <t>Chambers</t>
        </is>
      </c>
      <c r="B140" s="49" t="inlineStr">
        <is>
          <t>Band 2</t>
        </is>
      </c>
      <c r="C140" s="49" t="inlineStr">
        <is>
          <t>James Hope</t>
        </is>
      </c>
      <c r="D140" s="49" t="inlineStr">
        <is>
          <t>Vinge</t>
        </is>
      </c>
      <c r="E140" s="49" t="inlineStr">
        <is>
          <t>Advokatfirman Vinge KB</t>
        </is>
      </c>
    </row>
    <row r="141">
      <c r="A141" s="49" t="inlineStr">
        <is>
          <t>Chambers</t>
        </is>
      </c>
      <c r="B141" s="49" t="inlineStr">
        <is>
          <t>Band 2</t>
        </is>
      </c>
      <c r="C141" s="49" t="inlineStr">
        <is>
          <t>Mattias Rosengren</t>
        </is>
      </c>
      <c r="D141" s="49" t="inlineStr">
        <is>
          <t>Vinge</t>
        </is>
      </c>
      <c r="E141" s="49" t="inlineStr">
        <is>
          <t>Advokatfirman Vinge KB</t>
        </is>
      </c>
    </row>
    <row r="142">
      <c r="A142" s="49" t="inlineStr">
        <is>
          <t>Chambers</t>
        </is>
      </c>
      <c r="B142" s="49" t="inlineStr">
        <is>
          <t>Band 2</t>
        </is>
      </c>
      <c r="C142" s="49" t="inlineStr">
        <is>
          <t>Martin Wallin</t>
        </is>
      </c>
      <c r="D142" s="49" t="inlineStr">
        <is>
          <t>Wallin &amp; Partners</t>
        </is>
      </c>
      <c r="E142" s="49" t="inlineStr">
        <is>
          <t>Wallin &amp; Partners</t>
        </is>
      </c>
    </row>
    <row r="143">
      <c r="A143" s="49" t="inlineStr">
        <is>
          <t>Chambers</t>
        </is>
      </c>
      <c r="B143" s="49" t="inlineStr">
        <is>
          <t>Band 3</t>
        </is>
      </c>
      <c r="C143" s="49" t="inlineStr">
        <is>
          <t>Ola Hansson</t>
        </is>
      </c>
      <c r="D143" s="49" t="inlineStr">
        <is>
          <t>BAHR</t>
        </is>
      </c>
      <c r="E143" s="49" t="inlineStr">
        <is>
          <t>BAHR</t>
        </is>
      </c>
    </row>
    <row r="144">
      <c r="A144" s="49" t="inlineStr">
        <is>
          <t>Chambers</t>
        </is>
      </c>
      <c r="B144" s="49" t="inlineStr">
        <is>
          <t>Band 3</t>
        </is>
      </c>
      <c r="C144" s="49" t="inlineStr">
        <is>
          <t>Daniel Waerme</t>
        </is>
      </c>
      <c r="D144" s="49" t="inlineStr">
        <is>
          <t>Gernandt &amp; Danielsson</t>
        </is>
      </c>
      <c r="E144" s="49" t="inlineStr">
        <is>
          <t>Gernandt &amp; Danielsson Advokatbyrå KB</t>
        </is>
      </c>
    </row>
    <row r="145">
      <c r="A145" s="49" t="inlineStr">
        <is>
          <t>Chambers</t>
        </is>
      </c>
      <c r="B145" s="49" t="inlineStr">
        <is>
          <t>Band 3</t>
        </is>
      </c>
      <c r="C145" s="49" t="inlineStr">
        <is>
          <t>Pontus Ewerlöf</t>
        </is>
      </c>
      <c r="D145" s="49" t="inlineStr">
        <is>
          <t>Gernandt &amp; Danielsson</t>
        </is>
      </c>
      <c r="E145" s="49" t="inlineStr">
        <is>
          <t>Gernandt &amp; Danielsson Advokatbyrå KB</t>
        </is>
      </c>
    </row>
    <row r="146">
      <c r="A146" s="49" t="inlineStr">
        <is>
          <t>Chambers</t>
        </is>
      </c>
      <c r="B146" s="49" t="inlineStr">
        <is>
          <t>Band 3</t>
        </is>
      </c>
      <c r="C146" s="49" t="inlineStr">
        <is>
          <t>Sandra Kaznova</t>
        </is>
      </c>
      <c r="D146" s="49" t="inlineStr">
        <is>
          <t>Hammarskiöld</t>
        </is>
      </c>
      <c r="E146" s="49" t="inlineStr">
        <is>
          <t>Advokatfirman Hammarskiöld &amp; Co AB</t>
        </is>
      </c>
    </row>
    <row r="147">
      <c r="A147" s="49" t="inlineStr">
        <is>
          <t>Chambers</t>
        </is>
      </c>
      <c r="B147" s="49" t="inlineStr">
        <is>
          <t>Band 3</t>
        </is>
      </c>
      <c r="C147" s="49" t="inlineStr">
        <is>
          <t>Henrik Bielenstein</t>
        </is>
      </c>
      <c r="D147" s="49" t="inlineStr">
        <is>
          <t>Kastell</t>
        </is>
      </c>
      <c r="E147" s="49" t="inlineStr">
        <is>
          <t>Kastell Advokatbyrå</t>
        </is>
      </c>
    </row>
    <row r="148">
      <c r="A148" s="49" t="inlineStr">
        <is>
          <t>Chambers</t>
        </is>
      </c>
      <c r="B148" s="49" t="inlineStr">
        <is>
          <t>Band 3</t>
        </is>
      </c>
      <c r="C148" s="49" t="inlineStr">
        <is>
          <t>Mattias Göransson Rondin</t>
        </is>
      </c>
      <c r="D148" s="49" t="inlineStr">
        <is>
          <t>Mannheimer Swartling</t>
        </is>
      </c>
      <c r="E148" s="49" t="inlineStr">
        <is>
          <t>Mannheimer Swartling</t>
        </is>
      </c>
    </row>
    <row r="149">
      <c r="A149" s="49" t="inlineStr">
        <is>
          <t>Chambers</t>
        </is>
      </c>
      <c r="B149" s="49" t="inlineStr">
        <is>
          <t>Band 3</t>
        </is>
      </c>
      <c r="C149" s="49" t="inlineStr">
        <is>
          <t>Fredrik Norburg</t>
        </is>
      </c>
      <c r="D149" s="49" t="inlineStr">
        <is>
          <t>Norburg &amp; Scherp</t>
        </is>
      </c>
      <c r="E149" s="49" t="inlineStr">
        <is>
          <t>Norburg &amp; Scherp Advokatbyrå</t>
        </is>
      </c>
    </row>
    <row r="150">
      <c r="A150" s="49" t="inlineStr">
        <is>
          <t>Chambers</t>
        </is>
      </c>
      <c r="B150" s="49" t="inlineStr">
        <is>
          <t>Band 3</t>
        </is>
      </c>
      <c r="C150" s="49" t="inlineStr">
        <is>
          <t>Pontus Scherp</t>
        </is>
      </c>
      <c r="D150" s="49" t="inlineStr">
        <is>
          <t>Norburg &amp; Scherp</t>
        </is>
      </c>
      <c r="E150" s="49" t="inlineStr">
        <is>
          <t>Norburg &amp; Scherp Advokatbyrå</t>
        </is>
      </c>
    </row>
    <row r="151">
      <c r="A151" s="49" t="inlineStr">
        <is>
          <t>Chambers</t>
        </is>
      </c>
      <c r="B151" s="49" t="inlineStr">
        <is>
          <t>Band 3</t>
        </is>
      </c>
      <c r="C151" s="49" t="inlineStr">
        <is>
          <t>Johan Strömbäck</t>
        </is>
      </c>
      <c r="D151" s="49" t="inlineStr">
        <is>
          <t>Setterwalls</t>
        </is>
      </c>
      <c r="E151" s="49" t="inlineStr">
        <is>
          <t>Setterwalls</t>
        </is>
      </c>
    </row>
    <row r="152">
      <c r="A152" s="49" t="inlineStr">
        <is>
          <t>Chambers</t>
        </is>
      </c>
      <c r="B152" s="49" t="inlineStr">
        <is>
          <t>Band 3</t>
        </is>
      </c>
      <c r="C152" s="49" t="inlineStr">
        <is>
          <t>Jonas Eklund</t>
        </is>
      </c>
      <c r="D152" s="49" t="inlineStr">
        <is>
          <t>Vinge</t>
        </is>
      </c>
      <c r="E152" s="49" t="inlineStr">
        <is>
          <t>Advokatfirman Vinge KB</t>
        </is>
      </c>
    </row>
    <row r="153">
      <c r="A153" s="49" t="inlineStr">
        <is>
          <t>Chambers</t>
        </is>
      </c>
      <c r="B153" s="49" t="inlineStr">
        <is>
          <t>Band 3</t>
        </is>
      </c>
      <c r="C153" s="49" t="inlineStr">
        <is>
          <t>Ginta Ahrel</t>
        </is>
      </c>
      <c r="D153" s="49" t="inlineStr">
        <is>
          <t>Westerberg &amp; Partners</t>
        </is>
      </c>
      <c r="E153" s="49" t="inlineStr">
        <is>
          <t>Westerberg &amp; Partners</t>
        </is>
      </c>
    </row>
    <row r="154">
      <c r="A154" s="49" t="inlineStr">
        <is>
          <t>Chambers</t>
        </is>
      </c>
      <c r="B154" s="49" t="inlineStr">
        <is>
          <t>Band 3</t>
        </is>
      </c>
      <c r="C154" s="49" t="inlineStr">
        <is>
          <t>Jesper Tiberg</t>
        </is>
      </c>
      <c r="D154" s="49" t="inlineStr">
        <is>
          <t>Westerberg &amp; Partners</t>
        </is>
      </c>
      <c r="E154" s="49" t="inlineStr">
        <is>
          <t>Westerberg &amp; Partners</t>
        </is>
      </c>
    </row>
    <row r="155">
      <c r="A155" s="49" t="inlineStr">
        <is>
          <t>Legal 500</t>
        </is>
      </c>
      <c r="B155" s="49" t="inlineStr">
        <is>
          <t>Hall of Fame</t>
        </is>
      </c>
      <c r="C155" s="49" t="inlineStr">
        <is>
          <t>Björn Tude</t>
        </is>
      </c>
      <c r="D155" s="49" t="inlineStr">
        <is>
          <t>Gernandt &amp; Danielsson</t>
        </is>
      </c>
      <c r="E155" s="49" t="inlineStr">
        <is>
          <t>Gernandt &amp; Danielsson Advokatbyrå</t>
        </is>
      </c>
    </row>
    <row r="156">
      <c r="A156" s="49" t="inlineStr">
        <is>
          <t>Legal 500</t>
        </is>
      </c>
      <c r="B156" s="49" t="inlineStr">
        <is>
          <t>Hall of Fame</t>
        </is>
      </c>
      <c r="C156" s="49" t="inlineStr">
        <is>
          <t>Robin Oldenstam</t>
        </is>
      </c>
      <c r="D156" s="49" t="inlineStr">
        <is>
          <t>Mannheimer Swartling</t>
        </is>
      </c>
      <c r="E156" s="49" t="inlineStr">
        <is>
          <t>Mannheimer Swartling</t>
        </is>
      </c>
    </row>
    <row r="157">
      <c r="A157" s="49" t="inlineStr">
        <is>
          <t>Legal 500</t>
        </is>
      </c>
      <c r="B157" s="49" t="inlineStr">
        <is>
          <t>Hall of Fame</t>
        </is>
      </c>
      <c r="C157" s="49" t="inlineStr">
        <is>
          <t>Martin Wallin</t>
        </is>
      </c>
      <c r="D157" s="49" t="inlineStr">
        <is>
          <t>Wallin &amp; Partners</t>
        </is>
      </c>
      <c r="E157" s="49" t="inlineStr">
        <is>
          <t>Advokatbyrån Wallin &amp; Partners AB</t>
        </is>
      </c>
    </row>
    <row r="158">
      <c r="A158" s="49" t="inlineStr">
        <is>
          <t>Legal 500</t>
        </is>
      </c>
      <c r="B158" s="49" t="inlineStr">
        <is>
          <t>Hall of Fame</t>
        </is>
      </c>
      <c r="C158" s="49" t="inlineStr">
        <is>
          <t>Anders Reldén</t>
        </is>
      </c>
      <c r="D158" s="49" t="inlineStr">
        <is>
          <t>White &amp; Case</t>
        </is>
      </c>
      <c r="E158" s="49" t="inlineStr">
        <is>
          <t>White &amp; Case Advokat AB</t>
        </is>
      </c>
    </row>
    <row r="159">
      <c r="A159" s="49" t="inlineStr">
        <is>
          <t>Legal 500</t>
        </is>
      </c>
      <c r="B159" s="49" t="inlineStr">
        <is>
          <t>Leading partners</t>
        </is>
      </c>
      <c r="C159" s="49" t="inlineStr">
        <is>
          <t>Harry Bergman</t>
        </is>
      </c>
      <c r="D159" s="49" t="inlineStr">
        <is>
          <t>CMS Wistrand</t>
        </is>
      </c>
      <c r="E159" s="49" t="inlineStr">
        <is>
          <t>CMS Wistrand</t>
        </is>
      </c>
    </row>
    <row r="160">
      <c r="A160" s="49" t="inlineStr">
        <is>
          <t>Legal 500</t>
        </is>
      </c>
      <c r="B160" s="49" t="inlineStr">
        <is>
          <t>Leading partners</t>
        </is>
      </c>
      <c r="C160" s="49" t="inlineStr">
        <is>
          <t>Elsa Arbrandt</t>
        </is>
      </c>
      <c r="D160" s="49" t="inlineStr">
        <is>
          <t>Cederquist</t>
        </is>
      </c>
      <c r="E160" s="49" t="inlineStr">
        <is>
          <t>Advokatfirman Cederquist KB</t>
        </is>
      </c>
    </row>
    <row r="161">
      <c r="A161" s="49" t="inlineStr">
        <is>
          <t>Legal 500</t>
        </is>
      </c>
      <c r="B161" s="49" t="inlineStr">
        <is>
          <t>Leading partners</t>
        </is>
      </c>
      <c r="C161" s="49" t="inlineStr">
        <is>
          <t>Erik Wernberg</t>
        </is>
      </c>
      <c r="D161" s="49" t="inlineStr">
        <is>
          <t>Cederquist</t>
        </is>
      </c>
      <c r="E161" s="49" t="inlineStr">
        <is>
          <t>Advokatfirman Cederquist KB</t>
        </is>
      </c>
    </row>
    <row r="162">
      <c r="A162" s="49" t="inlineStr">
        <is>
          <t>Legal 500</t>
        </is>
      </c>
      <c r="B162" s="49" t="inlineStr">
        <is>
          <t>Leading partners</t>
        </is>
      </c>
      <c r="C162" s="49" t="inlineStr">
        <is>
          <t>Daniel Waerme</t>
        </is>
      </c>
      <c r="D162" s="49" t="inlineStr">
        <is>
          <t>Gernandt &amp; Danielsson</t>
        </is>
      </c>
      <c r="E162" s="49" t="inlineStr">
        <is>
          <t>Gernandt &amp; Danielsson Advokatbyrå</t>
        </is>
      </c>
    </row>
    <row r="163">
      <c r="A163" s="49" t="inlineStr">
        <is>
          <t>Legal 500</t>
        </is>
      </c>
      <c r="B163" s="49" t="inlineStr">
        <is>
          <t>Leading partners</t>
        </is>
      </c>
      <c r="C163" s="49" t="inlineStr">
        <is>
          <t>Erika Finn</t>
        </is>
      </c>
      <c r="D163" s="49" t="inlineStr">
        <is>
          <t>Kilpatrick Townsend &amp; Stockton Advokat KB</t>
        </is>
      </c>
      <c r="E163" s="49" t="inlineStr">
        <is>
          <t>Kilpatrick Townsend &amp; Stockton Advokat KB</t>
        </is>
      </c>
    </row>
    <row r="164">
      <c r="A164" s="49" t="inlineStr">
        <is>
          <t>Legal 500</t>
        </is>
      </c>
      <c r="B164" s="49" t="inlineStr">
        <is>
          <t>Leading partners</t>
        </is>
      </c>
      <c r="C164" s="49" t="inlineStr">
        <is>
          <t>Kristoffer Löf</t>
        </is>
      </c>
      <c r="D164" s="49" t="inlineStr">
        <is>
          <t>Mannheimer Swartling</t>
        </is>
      </c>
      <c r="E164" s="49" t="inlineStr">
        <is>
          <t>Mannheimer Swartling</t>
        </is>
      </c>
    </row>
    <row r="165">
      <c r="A165" s="49" t="inlineStr">
        <is>
          <t>Legal 500</t>
        </is>
      </c>
      <c r="B165" s="49" t="inlineStr">
        <is>
          <t>Leading partners</t>
        </is>
      </c>
      <c r="C165" s="49" t="inlineStr">
        <is>
          <t>Johan Sidklev</t>
        </is>
      </c>
      <c r="D165" s="49" t="inlineStr">
        <is>
          <t>Roschier</t>
        </is>
      </c>
      <c r="E165" s="49" t="inlineStr">
        <is>
          <t>Roschier</t>
        </is>
      </c>
    </row>
    <row r="166">
      <c r="A166" s="49" t="inlineStr">
        <is>
          <t>Legal 500</t>
        </is>
      </c>
      <c r="B166" s="49" t="inlineStr">
        <is>
          <t>Leading partners</t>
        </is>
      </c>
      <c r="C166" s="49" t="inlineStr">
        <is>
          <t>Shirin Saif</t>
        </is>
      </c>
      <c r="D166" s="49" t="inlineStr">
        <is>
          <t>Roschier</t>
        </is>
      </c>
      <c r="E166" s="49" t="inlineStr">
        <is>
          <t>Roschier</t>
        </is>
      </c>
    </row>
    <row r="167">
      <c r="A167" s="49" t="inlineStr">
        <is>
          <t>Legal 500</t>
        </is>
      </c>
      <c r="B167" s="49" t="inlineStr">
        <is>
          <t>Leading partners</t>
        </is>
      </c>
      <c r="C167" s="49" t="inlineStr">
        <is>
          <t>Johan Strömbäck</t>
        </is>
      </c>
      <c r="D167" s="49" t="inlineStr">
        <is>
          <t>Setterwalls</t>
        </is>
      </c>
      <c r="E167" s="49" t="inlineStr">
        <is>
          <t>Setterwalls</t>
        </is>
      </c>
    </row>
    <row r="168">
      <c r="A168" s="49" t="inlineStr">
        <is>
          <t>Legal 500</t>
        </is>
      </c>
      <c r="B168" s="49" t="inlineStr">
        <is>
          <t>Leading partners</t>
        </is>
      </c>
      <c r="C168" s="49" t="inlineStr">
        <is>
          <t>Ginta Ahrel</t>
        </is>
      </c>
      <c r="D168" s="49" t="inlineStr">
        <is>
          <t>Westerberg &amp; Partners</t>
        </is>
      </c>
      <c r="E168" s="49" t="inlineStr">
        <is>
          <t>Westerberg &amp; Partners</t>
        </is>
      </c>
    </row>
    <row r="169">
      <c r="A169" s="49" t="inlineStr">
        <is>
          <t>Legal 500</t>
        </is>
      </c>
      <c r="B169" s="49" t="inlineStr">
        <is>
          <t>Leading partners</t>
        </is>
      </c>
      <c r="C169" s="49" t="inlineStr">
        <is>
          <t>Maria Fogdestam Agius</t>
        </is>
      </c>
      <c r="D169" s="49" t="inlineStr">
        <is>
          <t>Westerberg &amp; Partners</t>
        </is>
      </c>
      <c r="E169" s="49" t="inlineStr">
        <is>
          <t>Westerberg &amp; Partners</t>
        </is>
      </c>
    </row>
    <row r="170">
      <c r="A170" s="49" t="inlineStr">
        <is>
          <t>Legal 500</t>
        </is>
      </c>
      <c r="B170" s="49" t="inlineStr">
        <is>
          <t>Leading partners</t>
        </is>
      </c>
      <c r="C170" s="49" t="inlineStr">
        <is>
          <t>Therese Isaksson</t>
        </is>
      </c>
      <c r="D170" s="49" t="inlineStr">
        <is>
          <t>Westerberg &amp; Partners</t>
        </is>
      </c>
      <c r="E170" s="49" t="inlineStr">
        <is>
          <t>Westerberg &amp; Partners</t>
        </is>
      </c>
    </row>
    <row r="171">
      <c r="A171" s="49" t="inlineStr">
        <is>
          <t>Legal 500</t>
        </is>
      </c>
      <c r="B171" s="49" t="inlineStr">
        <is>
          <t>Next Generation Partners</t>
        </is>
      </c>
      <c r="C171" s="49" t="inlineStr">
        <is>
          <t>David Johansson</t>
        </is>
      </c>
      <c r="D171" s="49" t="inlineStr">
        <is>
          <t>DLA Piper</t>
        </is>
      </c>
      <c r="E171" s="49" t="inlineStr">
        <is>
          <t>DLA Piper Sweden</t>
        </is>
      </c>
    </row>
    <row r="172">
      <c r="A172" s="49" t="inlineStr">
        <is>
          <t>Legal 500</t>
        </is>
      </c>
      <c r="B172" s="49" t="inlineStr">
        <is>
          <t>Next Generation Partners</t>
        </is>
      </c>
      <c r="C172" s="49" t="inlineStr">
        <is>
          <t>Christoffer Nystedt</t>
        </is>
      </c>
      <c r="D172" s="49" t="inlineStr">
        <is>
          <t>Morris Law</t>
        </is>
      </c>
      <c r="E172" s="49" t="inlineStr">
        <is>
          <t>Morris Law</t>
        </is>
      </c>
    </row>
    <row r="173">
      <c r="A173" s="49" t="inlineStr">
        <is>
          <t>Legal 500</t>
        </is>
      </c>
      <c r="B173" s="49" t="inlineStr">
        <is>
          <t>Next Generation Partners</t>
        </is>
      </c>
      <c r="C173" s="49" t="inlineStr">
        <is>
          <t>Carl Persson</t>
        </is>
      </c>
      <c r="D173" s="49" t="inlineStr">
        <is>
          <t>Roschier</t>
        </is>
      </c>
      <c r="E173" s="49" t="inlineStr">
        <is>
          <t>Roschier</t>
        </is>
      </c>
    </row>
    <row r="174">
      <c r="A174" s="49" t="inlineStr">
        <is>
          <t>Legal 500</t>
        </is>
      </c>
      <c r="B174" s="49" t="inlineStr">
        <is>
          <t>Next Generation Partners</t>
        </is>
      </c>
      <c r="C174" s="49" t="inlineStr">
        <is>
          <t>Filippa Exelin</t>
        </is>
      </c>
      <c r="D174" s="49" t="inlineStr">
        <is>
          <t>White &amp; Case</t>
        </is>
      </c>
      <c r="E174" s="49" t="inlineStr">
        <is>
          <t>White &amp; Case Advokat AB</t>
        </is>
      </c>
    </row>
    <row r="176">
      <c r="A176" s="46" t="inlineStr">
        <is>
          <t>Highlighted firms below the top three levels (not shown above):</t>
        </is>
      </c>
    </row>
    <row r="177">
      <c r="A177" s="119" t="inlineStr">
        <is>
          <t>Chambers</t>
        </is>
      </c>
      <c r="B177" s="119" t="inlineStr">
        <is>
          <t>Band 4</t>
        </is>
      </c>
      <c r="C177" s="119" t="inlineStr">
        <is>
          <t>David Aversten</t>
        </is>
      </c>
      <c r="D177" s="119" t="inlineStr">
        <is>
          <t>Delphi</t>
        </is>
      </c>
      <c r="E177" s="119" t="inlineStr">
        <is>
          <t>Corporate / M&amp;A</t>
        </is>
      </c>
    </row>
    <row r="178">
      <c r="A178" s="119" t="inlineStr">
        <is>
          <t>Chambers</t>
        </is>
      </c>
      <c r="B178" s="119" t="inlineStr">
        <is>
          <t>Band 4</t>
        </is>
      </c>
      <c r="C178" s="119" t="inlineStr">
        <is>
          <t>Sverker Bonde</t>
        </is>
      </c>
      <c r="D178" s="119" t="inlineStr">
        <is>
          <t>Delphi</t>
        </is>
      </c>
      <c r="E178" s="119" t="inlineStr">
        <is>
          <t>Dispute resolution</t>
        </is>
      </c>
    </row>
    <row r="179">
      <c r="A179" s="119" t="inlineStr">
        <is>
          <t>Chambers</t>
        </is>
      </c>
      <c r="B179" s="119" t="inlineStr">
        <is>
          <t>Band 5</t>
        </is>
      </c>
      <c r="C179" s="119" t="inlineStr">
        <is>
          <t>Emil Andersson</t>
        </is>
      </c>
      <c r="D179" s="119" t="inlineStr">
        <is>
          <t>Delphi</t>
        </is>
      </c>
      <c r="E179" s="119" t="inlineStr">
        <is>
          <t>Dispute resolution</t>
        </is>
      </c>
    </row>
    <row r="180">
      <c r="A180" s="119" t="inlineStr">
        <is>
          <t>Chambers</t>
        </is>
      </c>
      <c r="B180" s="119" t="inlineStr">
        <is>
          <t>Band 4</t>
        </is>
      </c>
      <c r="C180" s="119" t="inlineStr">
        <is>
          <t>Jan Byström</t>
        </is>
      </c>
      <c r="D180" s="119" t="inlineStr">
        <is>
          <t>Lindahl</t>
        </is>
      </c>
      <c r="E180" s="119" t="inlineStr">
        <is>
          <t>Corporate / M&amp;A</t>
        </is>
      </c>
    </row>
    <row r="181">
      <c r="A181" s="119" t="inlineStr">
        <is>
          <t>Chambers</t>
        </is>
      </c>
      <c r="B181" s="119" t="inlineStr">
        <is>
          <t>Band 5</t>
        </is>
      </c>
      <c r="C181" s="119" t="inlineStr">
        <is>
          <t>David Ackebo</t>
        </is>
      </c>
      <c r="D181" s="119" t="inlineStr">
        <is>
          <t>Lindahl</t>
        </is>
      </c>
      <c r="E181" s="119" t="inlineStr">
        <is>
          <t>Dispute resolution</t>
        </is>
      </c>
    </row>
    <row r="182">
      <c r="A182" s="119" t="inlineStr">
        <is>
          <t>Chambers</t>
        </is>
      </c>
      <c r="B182" s="119" t="inlineStr">
        <is>
          <t>Band 4</t>
        </is>
      </c>
      <c r="C182" s="119" t="inlineStr">
        <is>
          <t>Jan Byström</t>
        </is>
      </c>
      <c r="D182" s="119" t="inlineStr">
        <is>
          <t>Lindahl</t>
        </is>
      </c>
      <c r="E182" s="119" t="inlineStr">
        <is>
          <t>Private equity</t>
        </is>
      </c>
    </row>
    <row r="183">
      <c r="A183" s="119" t="inlineStr">
        <is>
          <t>Chambers</t>
        </is>
      </c>
      <c r="B183" s="119" t="inlineStr">
        <is>
          <t>Band 5</t>
        </is>
      </c>
      <c r="C183" s="119" t="inlineStr">
        <is>
          <t>Anders Bäckman</t>
        </is>
      </c>
      <c r="D183" s="119" t="inlineStr">
        <is>
          <t>Magnusson</t>
        </is>
      </c>
      <c r="E183" s="119" t="inlineStr">
        <is>
          <t>Corporate / M&amp;A</t>
        </is>
      </c>
    </row>
    <row r="184">
      <c r="A184" s="119" t="inlineStr">
        <is>
          <t>Chambers</t>
        </is>
      </c>
      <c r="B184" s="119" t="inlineStr">
        <is>
          <t>Band 5</t>
        </is>
      </c>
      <c r="C184" s="119" t="inlineStr">
        <is>
          <t>Magdalena Berg</t>
        </is>
      </c>
      <c r="D184" s="119" t="inlineStr">
        <is>
          <t>Magnusson</t>
        </is>
      </c>
      <c r="E184" s="119" t="inlineStr">
        <is>
          <t>Dispute resolution</t>
        </is>
      </c>
    </row>
    <row r="185">
      <c r="A185" s="45" t="inlineStr">
        <is>
          <t>MAQS has no individually ranked lawyers in these four practice areas in either directory.</t>
        </is>
      </c>
    </row>
    <row r="187">
      <c r="A187" s="45" t="inlineStr">
        <is>
          <t>Sources: https://chambers.com/legal-guide/europe-7 (Sweden ranking tables); https://www.legal500.com/c/sweden/&lt;practice-area&gt;/lawyers</t>
        </is>
      </c>
    </row>
  </sheetData>
  <mergeCells count="1">
    <mergeCell ref="A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1"/>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style="112" min="1" max="1"/>
    <col width="7" customWidth="1" style="112" min="2" max="2"/>
    <col width="22" customWidth="1" style="112" min="3" max="3"/>
    <col width="24" customWidth="1" style="112" min="4" max="4"/>
    <col width="24" customWidth="1" style="112" min="5" max="5"/>
    <col width="42" customWidth="1" style="112" min="6" max="6"/>
    <col width="18" customWidth="1" style="112" min="7" max="7"/>
    <col width="10" customWidth="1" style="112" min="8" max="8"/>
    <col width="11" customWidth="1" style="112" min="9" max="9"/>
    <col width="40" customWidth="1" style="112" min="10" max="10"/>
    <col width="60" customWidth="1" style="112" min="11" max="11"/>
  </cols>
  <sheetData>
    <row r="1">
      <c r="A1" s="1" t="inlineStr">
        <is>
          <t>B4. Partner pipeline: ranked lawyers in Corporate / M&amp;A, Private equity, Banking &amp; finance and Dispute resolution</t>
        </is>
      </c>
    </row>
    <row r="2" ht="90" customHeight="1" s="112">
      <c r="A2" s="2" t="inlineStr">
        <is>
          <t>Long list: 172 individually ranked lawyers (Chambers Europe 2026 all bands; Legal 500 Hall of Fame, Leading partners, Next Generation Partners) in the four practice areas where MAQS has no ranked lawyers. Priority A = 35, B = 65, C = 72. Score = firm pressure (-2 to +2: partner losses, restructuring, PE ownership; recently joined = -2) + career stage (+1 Band 3-5 / Next Gen / Up and Coming; 0 Band 2 / Leading partner; -1 Band 1 / Hall of Fame; -2 Eminent / Senior Statespeople) + seniority (+1 if ranked &lt;=6 years, -1 if &gt;=15) + affordability vs MAQS economics (+1 lower-paying firm, -1 high-paying firm) + mover history (+1 moved 2020-24, -1 moved 2024-26). A &gt;= 3; B = 1-2; C &lt;= 0. Scores are indicative screening aids, not assessments of individuals.</t>
        </is>
      </c>
    </row>
    <row r="4" ht="36" customHeight="1" s="112">
      <c r="A4" s="52" t="inlineStr">
        <is>
          <t>Priority</t>
        </is>
      </c>
      <c r="B4" s="52" t="inlineStr">
        <is>
          <t>Score</t>
        </is>
      </c>
      <c r="C4" s="52" t="inlineStr">
        <is>
          <t>Lawyer</t>
        </is>
      </c>
      <c r="D4" s="52" t="inlineStr">
        <is>
          <t>Current firm (per directory)</t>
        </is>
      </c>
      <c r="E4" s="52" t="inlineStr">
        <is>
          <t>Practice area(s)</t>
        </is>
      </c>
      <c r="F4" s="52" t="inlineStr">
        <is>
          <t>Rankings</t>
        </is>
      </c>
      <c r="G4" s="52" t="inlineStr">
        <is>
          <t>Position (Legal 500 profile)</t>
        </is>
      </c>
      <c r="H4" s="52" t="inlineStr">
        <is>
          <t>Chambers years ranked</t>
        </is>
      </c>
      <c r="I4" s="52" t="inlineStr">
        <is>
          <t>Current firm pay level</t>
        </is>
      </c>
      <c r="J4" s="52" t="inlineStr">
        <is>
          <t>Firm signal</t>
        </is>
      </c>
      <c r="K4" s="52" t="inlineStr">
        <is>
          <t>Approach angle / notes</t>
        </is>
      </c>
    </row>
    <row r="5">
      <c r="A5" s="120" t="inlineStr">
        <is>
          <t>A</t>
        </is>
      </c>
      <c r="B5" s="120" t="n">
        <v>5</v>
      </c>
      <c r="C5" s="121" t="inlineStr">
        <is>
          <t>Emil Andersson</t>
        </is>
      </c>
      <c r="D5" s="121" t="inlineStr">
        <is>
          <t>Delphi</t>
        </is>
      </c>
      <c r="E5" s="121" t="inlineStr">
        <is>
          <t>Dispute resolution</t>
        </is>
      </c>
      <c r="F5" s="121" t="inlineStr">
        <is>
          <t>Dispute resolution: CH: Band 5</t>
        </is>
      </c>
      <c r="G5" s="121" t="n"/>
      <c r="H5" s="120" t="n">
        <v>3</v>
      </c>
      <c r="I5" s="120" t="inlineStr">
        <is>
          <t>Lower</t>
        </is>
      </c>
      <c r="J5" s="121" t="inlineStr">
        <is>
          <t>Lost 4 partners to MAQS 2024-26; profit pool ~SEK 1.7m/partner</t>
        </is>
      </c>
      <c r="K5" s="121" t="inlineStr">
        <is>
          <t>Firm under pressure: Lost 4 partners to MAQS 2024-26; profit pool ~SEK 1.7m/partner; Mid-career / next-generation: room to lead and build a practice</t>
        </is>
      </c>
    </row>
    <row r="6">
      <c r="A6" s="120" t="inlineStr">
        <is>
          <t>A</t>
        </is>
      </c>
      <c r="B6" s="120" t="n">
        <v>4</v>
      </c>
      <c r="C6" s="121" t="inlineStr">
        <is>
          <t>Arthur Klintred</t>
        </is>
      </c>
      <c r="D6" s="121" t="inlineStr">
        <is>
          <t>Cederquist</t>
        </is>
      </c>
      <c r="E6" s="121" t="inlineStr">
        <is>
          <t>Banking &amp; finance</t>
        </is>
      </c>
      <c r="F6" s="121" t="inlineStr">
        <is>
          <t>Banking &amp; finance: CH: Up and Coming</t>
        </is>
      </c>
      <c r="G6" s="121" t="n"/>
      <c r="H6" s="120" t="n">
        <v>2</v>
      </c>
      <c r="I6" s="120" t="inlineStr">
        <is>
          <t>Medium</t>
        </is>
      </c>
      <c r="J6" s="121" t="inlineStr">
        <is>
          <t>3 partner exits 2023-25 incl. ex-MP (RE:FI STHLM spin-out)</t>
        </is>
      </c>
      <c r="K6" s="121" t="inlineStr">
        <is>
          <t>Firm under pressure: 3 partner exits 2023-25 incl. ex-MP (RE:FI STHLM spin-out); Mid-career / next-generation: room to lead and build a practice</t>
        </is>
      </c>
    </row>
    <row r="7">
      <c r="A7" s="120" t="inlineStr">
        <is>
          <t>A</t>
        </is>
      </c>
      <c r="B7" s="120" t="n">
        <v>4</v>
      </c>
      <c r="C7" s="121" t="inlineStr">
        <is>
          <t>Berndt Pettersson</t>
        </is>
      </c>
      <c r="D7" s="121" t="inlineStr">
        <is>
          <t>Cederquist</t>
        </is>
      </c>
      <c r="E7" s="121" t="inlineStr">
        <is>
          <t>Banking &amp; finance</t>
        </is>
      </c>
      <c r="F7" s="121" t="inlineStr">
        <is>
          <t>Banking &amp; finance: L500: Next Generation Partners, CH: Band 4</t>
        </is>
      </c>
      <c r="G7" s="121" t="inlineStr">
        <is>
          <t>Partner, Banking and Finance</t>
        </is>
      </c>
      <c r="H7" s="120" t="n">
        <v>3</v>
      </c>
      <c r="I7" s="120" t="inlineStr">
        <is>
          <t>Medium</t>
        </is>
      </c>
      <c r="J7" s="121" t="inlineStr">
        <is>
          <t>3 partner exits 2023-25 incl. ex-MP (RE:FI STHLM spin-out)</t>
        </is>
      </c>
      <c r="K7" s="121" t="inlineStr">
        <is>
          <t>Firm under pressure: 3 partner exits 2023-25 incl. ex-MP (RE:FI STHLM spin-out); Mid-career / next-generation: room to lead and build a practice</t>
        </is>
      </c>
    </row>
    <row r="8">
      <c r="A8" s="120" t="inlineStr">
        <is>
          <t>A</t>
        </is>
      </c>
      <c r="B8" s="120" t="n">
        <v>4</v>
      </c>
      <c r="C8" s="121" t="inlineStr">
        <is>
          <t>Pontus Röckert</t>
        </is>
      </c>
      <c r="D8" s="121" t="inlineStr">
        <is>
          <t>Cederquist</t>
        </is>
      </c>
      <c r="E8" s="121" t="inlineStr">
        <is>
          <t>Private equity</t>
        </is>
      </c>
      <c r="F8" s="121" t="inlineStr">
        <is>
          <t>Private equity: CH: Band 4</t>
        </is>
      </c>
      <c r="G8" s="121" t="n"/>
      <c r="H8" s="120" t="n">
        <v>4</v>
      </c>
      <c r="I8" s="120" t="inlineStr">
        <is>
          <t>Medium</t>
        </is>
      </c>
      <c r="J8" s="121" t="inlineStr">
        <is>
          <t>3 partner exits 2023-25 incl. ex-MP (RE:FI STHLM spin-out)</t>
        </is>
      </c>
      <c r="K8" s="121" t="inlineStr">
        <is>
          <t>Firm under pressure: 3 partner exits 2023-25 incl. ex-MP (RE:FI STHLM spin-out); Mid-career / next-generation: room to lead and build a practice</t>
        </is>
      </c>
    </row>
    <row r="9">
      <c r="A9" s="120" t="inlineStr">
        <is>
          <t>A</t>
        </is>
      </c>
      <c r="B9" s="120" t="n">
        <v>4</v>
      </c>
      <c r="C9" s="121" t="inlineStr">
        <is>
          <t>Sverker Bonde</t>
        </is>
      </c>
      <c r="D9" s="121" t="inlineStr">
        <is>
          <t>Delphi</t>
        </is>
      </c>
      <c r="E9" s="121" t="inlineStr">
        <is>
          <t>Dispute resolution</t>
        </is>
      </c>
      <c r="F9" s="121" t="inlineStr">
        <is>
          <t>Dispute resolution: CH: Band 4</t>
        </is>
      </c>
      <c r="G9" s="121" t="n"/>
      <c r="H9" s="120" t="n">
        <v>10</v>
      </c>
      <c r="I9" s="120" t="inlineStr">
        <is>
          <t>Lower</t>
        </is>
      </c>
      <c r="J9" s="121" t="inlineStr">
        <is>
          <t>Lost 4 partners to MAQS 2024-26; profit pool ~SEK 1.7m/partner</t>
        </is>
      </c>
      <c r="K9" s="121" t="inlineStr">
        <is>
          <t>Firm under pressure: Lost 4 partners to MAQS 2024-26; profit pool ~SEK 1.7m/partner; Mid-career / next-generation: room to lead and build a practice</t>
        </is>
      </c>
    </row>
    <row r="10">
      <c r="A10" s="120" t="inlineStr">
        <is>
          <t>A</t>
        </is>
      </c>
      <c r="B10" s="120" t="n">
        <v>4</v>
      </c>
      <c r="C10" s="121" t="inlineStr">
        <is>
          <t>Jonas Du Rietz</t>
        </is>
      </c>
      <c r="D10" s="121" t="inlineStr">
        <is>
          <t>Morris Law</t>
        </is>
      </c>
      <c r="E10" s="121" t="inlineStr">
        <is>
          <t>Dispute resolution</t>
        </is>
      </c>
      <c r="F10" s="121" t="inlineStr">
        <is>
          <t>Dispute resolution: CH: Band 5</t>
        </is>
      </c>
      <c r="G10" s="121" t="n"/>
      <c r="H10" s="120" t="n">
        <v>1</v>
      </c>
      <c r="I10" s="120" t="inlineStr">
        <is>
          <t>Lower</t>
        </is>
      </c>
      <c r="J10" s="121" t="inlineStr">
        <is>
          <t>AGRD (PE-owned) member: lawyers left the Bar; partners wishing to remain advokater may move</t>
        </is>
      </c>
      <c r="K10" s="121" t="inlineStr">
        <is>
          <t>AGRD (PE-owned) member: lawyers left the Bar; partners wishing to remain advokater may move; Mid-career / next-generation: room to lead and build a practice</t>
        </is>
      </c>
    </row>
    <row r="11">
      <c r="A11" s="120" t="inlineStr">
        <is>
          <t>A</t>
        </is>
      </c>
      <c r="B11" s="120" t="n">
        <v>4</v>
      </c>
      <c r="C11" s="121" t="inlineStr">
        <is>
          <t>Martin Rifall</t>
        </is>
      </c>
      <c r="D11" s="121" t="inlineStr">
        <is>
          <t>Snellman</t>
        </is>
      </c>
      <c r="E11" s="121" t="inlineStr">
        <is>
          <t>Dispute resolution</t>
        </is>
      </c>
      <c r="F11" s="121" t="inlineStr">
        <is>
          <t>Dispute resolution: CH: Band 4</t>
        </is>
      </c>
      <c r="G11" s="121" t="n"/>
      <c r="H11" s="120" t="n">
        <v>1</v>
      </c>
      <c r="I11" s="120" t="inlineStr">
        <is>
          <t>Medium</t>
        </is>
      </c>
      <c r="J11" s="121" t="inlineStr">
        <is>
          <t>Separated from Hannes Snellman (2024); ~5 partner exits since 2024 incl. heads of competition and disputes</t>
        </is>
      </c>
      <c r="K11" s="121" t="inlineStr">
        <is>
          <t>Firm under pressure: Separated from Hannes Snellman (2024); ~5 partner exits since 2024 incl. heads of competition and disputes; Mid-career / next-generation: room to lead and build a practice</t>
        </is>
      </c>
    </row>
    <row r="12">
      <c r="A12" s="120" t="inlineStr">
        <is>
          <t>A</t>
        </is>
      </c>
      <c r="B12" s="120" t="n">
        <v>4</v>
      </c>
      <c r="C12" s="121" t="inlineStr">
        <is>
          <t>Miklos Kovacs Scherlin</t>
        </is>
      </c>
      <c r="D12" s="121" t="inlineStr">
        <is>
          <t>Snellman</t>
        </is>
      </c>
      <c r="E12" s="121" t="inlineStr">
        <is>
          <t>Corporate / M&amp;A</t>
        </is>
      </c>
      <c r="F12" s="121" t="inlineStr">
        <is>
          <t>Corporate / M&amp;A: CH: Up and Coming</t>
        </is>
      </c>
      <c r="G12" s="121" t="n"/>
      <c r="H12" s="120" t="n">
        <v>1</v>
      </c>
      <c r="I12" s="120" t="inlineStr">
        <is>
          <t>Medium</t>
        </is>
      </c>
      <c r="J12" s="121" t="inlineStr">
        <is>
          <t>Separated from Hannes Snellman (2024); ~5 partner exits since 2024 incl. heads of competition and disputes</t>
        </is>
      </c>
      <c r="K12" s="121" t="inlineStr">
        <is>
          <t>Firm under pressure: Separated from Hannes Snellman (2024); ~5 partner exits since 2024 incl. heads of competition and disputes; Mid-career / next-generation: room to lead and build a practice</t>
        </is>
      </c>
    </row>
    <row r="13">
      <c r="A13" s="120" t="inlineStr">
        <is>
          <t>A</t>
        </is>
      </c>
      <c r="B13" s="120" t="n">
        <v>4</v>
      </c>
      <c r="C13" s="121" t="inlineStr">
        <is>
          <t>Anders Morén</t>
        </is>
      </c>
      <c r="D13" s="121" t="inlineStr">
        <is>
          <t>Wigge &amp; Partners</t>
        </is>
      </c>
      <c r="E13" s="121" t="inlineStr">
        <is>
          <t>Banking &amp; finance</t>
        </is>
      </c>
      <c r="F13" s="121" t="inlineStr">
        <is>
          <t>Banking &amp; finance: CH: Band 4</t>
        </is>
      </c>
      <c r="G13" s="121" t="n"/>
      <c r="H13" s="120" t="n">
        <v>4</v>
      </c>
      <c r="I13" s="120" t="inlineStr">
        <is>
          <t>Lower</t>
        </is>
      </c>
      <c r="J13" s="121" t="inlineStr">
        <is>
          <t>AGRD (PE-owned) member: lawyers left the Bar; partners wishing to remain advokater may move</t>
        </is>
      </c>
      <c r="K13" s="121" t="inlineStr">
        <is>
          <t>AGRD (PE-owned) member: lawyers left the Bar; partners wishing to remain advokater may move; Mid-career / next-generation: room to lead and build a practice</t>
        </is>
      </c>
    </row>
    <row r="14">
      <c r="A14" s="120" t="inlineStr">
        <is>
          <t>A</t>
        </is>
      </c>
      <c r="B14" s="120" t="n">
        <v>4</v>
      </c>
      <c r="C14" s="121" t="inlineStr">
        <is>
          <t>Lisa Antman</t>
        </is>
      </c>
      <c r="D14" s="121" t="inlineStr">
        <is>
          <t>Wigge &amp; Partners</t>
        </is>
      </c>
      <c r="E14" s="121" t="inlineStr">
        <is>
          <t>Banking &amp; finance</t>
        </is>
      </c>
      <c r="F14" s="121" t="inlineStr">
        <is>
          <t>Banking &amp; finance: CH: Band 4</t>
        </is>
      </c>
      <c r="G14" s="121" t="n"/>
      <c r="H14" s="120" t="n">
        <v>5</v>
      </c>
      <c r="I14" s="120" t="inlineStr">
        <is>
          <t>Lower</t>
        </is>
      </c>
      <c r="J14" s="121" t="inlineStr">
        <is>
          <t>AGRD (PE-owned) member: lawyers left the Bar; partners wishing to remain advokater may move</t>
        </is>
      </c>
      <c r="K14" s="121" t="inlineStr">
        <is>
          <t>AGRD (PE-owned) member: lawyers left the Bar; partners wishing to remain advokater may move; Mid-career / next-generation: room to lead and build a practice</t>
        </is>
      </c>
    </row>
    <row r="15">
      <c r="A15" s="120" t="inlineStr">
        <is>
          <t>A</t>
        </is>
      </c>
      <c r="B15" s="120" t="n">
        <v>3</v>
      </c>
      <c r="C15" s="121" t="inlineStr">
        <is>
          <t>Philippe Benalal</t>
        </is>
      </c>
      <c r="D15" s="121" t="inlineStr">
        <is>
          <t>A1 Advokater</t>
        </is>
      </c>
      <c r="E15" s="121" t="inlineStr">
        <is>
          <t>Dispute resolution</t>
        </is>
      </c>
      <c r="F15" s="121" t="inlineStr">
        <is>
          <t>Dispute resolution: CH: Band 5</t>
        </is>
      </c>
      <c r="G15" s="121" t="n"/>
      <c r="H15" s="120" t="n">
        <v>1</v>
      </c>
      <c r="I15" s="120" t="inlineStr">
        <is>
          <t>Lower</t>
        </is>
      </c>
      <c r="J15" s="121" t="n"/>
      <c r="K15" s="121" t="inlineStr">
        <is>
          <t>Mid-career / next-generation: room to lead and build a practice</t>
        </is>
      </c>
    </row>
    <row r="16">
      <c r="A16" s="120" t="inlineStr">
        <is>
          <t>A</t>
        </is>
      </c>
      <c r="B16" s="120" t="n">
        <v>3</v>
      </c>
      <c r="C16" s="121" t="inlineStr">
        <is>
          <t>Krister Azelius</t>
        </is>
      </c>
      <c r="D16" s="121" t="inlineStr">
        <is>
          <t>Azelius &amp; Partners</t>
        </is>
      </c>
      <c r="E16" s="121" t="inlineStr">
        <is>
          <t>Dispute resolution</t>
        </is>
      </c>
      <c r="F16" s="121" t="inlineStr">
        <is>
          <t>Dispute resolution: CH: Band 4</t>
        </is>
      </c>
      <c r="G16" s="121" t="n"/>
      <c r="H16" s="120" t="n">
        <v>0</v>
      </c>
      <c r="I16" s="120" t="inlineStr">
        <is>
          <t>Lower</t>
        </is>
      </c>
      <c r="J16" s="121" t="n"/>
      <c r="K16" s="121" t="inlineStr">
        <is>
          <t>Mid-career / next-generation: room to lead and build a practice</t>
        </is>
      </c>
    </row>
    <row r="17">
      <c r="A17" s="120" t="inlineStr">
        <is>
          <t>A</t>
        </is>
      </c>
      <c r="B17" s="120" t="n">
        <v>3</v>
      </c>
      <c r="C17" s="121" t="inlineStr">
        <is>
          <t>Costin Mihailescu</t>
        </is>
      </c>
      <c r="D17" s="121" t="inlineStr">
        <is>
          <t>Baker McKenzie</t>
        </is>
      </c>
      <c r="E17" s="121" t="inlineStr">
        <is>
          <t>Private equity</t>
        </is>
      </c>
      <c r="F17" s="121" t="inlineStr">
        <is>
          <t>Private equity: CH: Band 3</t>
        </is>
      </c>
      <c r="G17" s="121" t="n"/>
      <c r="H17" s="120" t="n">
        <v>9</v>
      </c>
      <c r="I17" s="120" t="inlineStr">
        <is>
          <t>Medium</t>
        </is>
      </c>
      <c r="J17" s="121" t="inlineStr">
        <is>
          <t>2 partner exits 2025-26; moving away from billable hour</t>
        </is>
      </c>
      <c r="K17" s="121" t="inlineStr">
        <is>
          <t>Firm under pressure: 2 partner exits 2025-26; moving away from billable hour; Mid-career / next-generation: room to lead and build a practice</t>
        </is>
      </c>
    </row>
    <row r="18">
      <c r="A18" s="120" t="inlineStr">
        <is>
          <t>A</t>
        </is>
      </c>
      <c r="B18" s="120" t="n">
        <v>3</v>
      </c>
      <c r="C18" s="121" t="inlineStr">
        <is>
          <t>Martin Ulfson</t>
        </is>
      </c>
      <c r="D18" s="121" t="inlineStr">
        <is>
          <t>Cederquist</t>
        </is>
      </c>
      <c r="E18" s="121" t="inlineStr">
        <is>
          <t>Private equity</t>
        </is>
      </c>
      <c r="F18" s="121" t="inlineStr">
        <is>
          <t>Private equity: CH: Band 4</t>
        </is>
      </c>
      <c r="G18" s="121" t="n"/>
      <c r="H18" s="120" t="n">
        <v>13</v>
      </c>
      <c r="I18" s="120" t="inlineStr">
        <is>
          <t>Medium</t>
        </is>
      </c>
      <c r="J18" s="121" t="inlineStr">
        <is>
          <t>3 partner exits 2023-25 incl. ex-MP (RE:FI STHLM spin-out)</t>
        </is>
      </c>
      <c r="K18" s="121" t="inlineStr">
        <is>
          <t>Firm under pressure: 3 partner exits 2023-25 incl. ex-MP (RE:FI STHLM spin-out); Mid-career / next-generation: room to lead and build a practice</t>
        </is>
      </c>
    </row>
    <row r="19">
      <c r="A19" s="120" t="inlineStr">
        <is>
          <t>A</t>
        </is>
      </c>
      <c r="B19" s="120" t="n">
        <v>3</v>
      </c>
      <c r="C19" s="121" t="inlineStr">
        <is>
          <t>Viktor Eriksson</t>
        </is>
      </c>
      <c r="D19" s="121" t="inlineStr">
        <is>
          <t>Cederquist</t>
        </is>
      </c>
      <c r="E19" s="121" t="inlineStr">
        <is>
          <t>Corporate / M&amp;A</t>
        </is>
      </c>
      <c r="F19" s="121" t="inlineStr">
        <is>
          <t>Corporate / M&amp;A: L500: Next Generation Partners</t>
        </is>
      </c>
      <c r="G19" s="121" t="inlineStr">
        <is>
          <t>Partner. M&amp;A</t>
        </is>
      </c>
      <c r="H19" s="120" t="n"/>
      <c r="I19" s="120" t="inlineStr">
        <is>
          <t>Medium</t>
        </is>
      </c>
      <c r="J19" s="121" t="inlineStr">
        <is>
          <t>3 partner exits 2023-25 incl. ex-MP (RE:FI STHLM spin-out)</t>
        </is>
      </c>
      <c r="K19" s="121" t="inlineStr">
        <is>
          <t>Firm under pressure: 3 partner exits 2023-25 incl. ex-MP (RE:FI STHLM spin-out); Mid-career / next-generation: room to lead and build a practice</t>
        </is>
      </c>
    </row>
    <row r="20">
      <c r="A20" s="120" t="inlineStr">
        <is>
          <t>A</t>
        </is>
      </c>
      <c r="B20" s="120" t="n">
        <v>3</v>
      </c>
      <c r="C20" s="121" t="inlineStr">
        <is>
          <t>David Aversten</t>
        </is>
      </c>
      <c r="D20" s="121" t="inlineStr">
        <is>
          <t>Delphi</t>
        </is>
      </c>
      <c r="E20" s="121" t="inlineStr">
        <is>
          <t>Corporate / M&amp;A</t>
        </is>
      </c>
      <c r="F20" s="121" t="inlineStr">
        <is>
          <t>Corporate / M&amp;A: CH: Band 4</t>
        </is>
      </c>
      <c r="G20" s="121" t="n"/>
      <c r="H20" s="120" t="n">
        <v>18</v>
      </c>
      <c r="I20" s="120" t="inlineStr">
        <is>
          <t>Lower</t>
        </is>
      </c>
      <c r="J20" s="121" t="inlineStr">
        <is>
          <t>Lost 4 partners to MAQS 2024-26; profit pool ~SEK 1.7m/partner</t>
        </is>
      </c>
      <c r="K20" s="121" t="inlineStr">
        <is>
          <t>Firm under pressure: Lost 4 partners to MAQS 2024-26; profit pool ~SEK 1.7m/partner; Mid-career / next-generation: room to lead and build a practice</t>
        </is>
      </c>
    </row>
    <row r="21">
      <c r="A21" s="120" t="inlineStr">
        <is>
          <t>A</t>
        </is>
      </c>
      <c r="B21" s="120" t="n">
        <v>3</v>
      </c>
      <c r="C21" s="121" t="inlineStr">
        <is>
          <t>Karl Eklund</t>
        </is>
      </c>
      <c r="D21" s="121" t="inlineStr">
        <is>
          <t>Kanter</t>
        </is>
      </c>
      <c r="E21" s="121" t="inlineStr">
        <is>
          <t>Corporate / M&amp;A</t>
        </is>
      </c>
      <c r="F21" s="121" t="inlineStr">
        <is>
          <t>Corporate / M&amp;A: CH: Up and Coming</t>
        </is>
      </c>
      <c r="G21" s="121" t="n"/>
      <c r="H21" s="120" t="n">
        <v>1</v>
      </c>
      <c r="I21" s="120" t="inlineStr">
        <is>
          <t>Lower</t>
        </is>
      </c>
      <c r="J21" s="121" t="n"/>
      <c r="K21" s="121" t="inlineStr">
        <is>
          <t>Mid-career / next-generation: room to lead and build a practice</t>
        </is>
      </c>
    </row>
    <row r="22">
      <c r="A22" s="120" t="inlineStr">
        <is>
          <t>A</t>
        </is>
      </c>
      <c r="B22" s="120" t="n">
        <v>3</v>
      </c>
      <c r="C22" s="121" t="inlineStr">
        <is>
          <t>Katarina Mild</t>
        </is>
      </c>
      <c r="D22" s="121" t="inlineStr">
        <is>
          <t>Kastell</t>
        </is>
      </c>
      <c r="E22" s="121" t="inlineStr">
        <is>
          <t>Dispute resolution</t>
        </is>
      </c>
      <c r="F22" s="121" t="inlineStr">
        <is>
          <t>Dispute resolution: CH: Band 4</t>
        </is>
      </c>
      <c r="G22" s="121" t="n"/>
      <c r="H22" s="120" t="n">
        <v>3</v>
      </c>
      <c r="I22" s="120" t="inlineStr">
        <is>
          <t>Lower</t>
        </is>
      </c>
      <c r="J22" s="121" t="n"/>
      <c r="K22" s="121" t="inlineStr">
        <is>
          <t>Mid-career / next-generation: room to lead and build a practice</t>
        </is>
      </c>
    </row>
    <row r="23">
      <c r="A23" s="120" t="inlineStr">
        <is>
          <t>A</t>
        </is>
      </c>
      <c r="B23" s="120" t="n">
        <v>3</v>
      </c>
      <c r="C23" s="121" t="inlineStr">
        <is>
          <t>David Ackebo</t>
        </is>
      </c>
      <c r="D23" s="121" t="inlineStr">
        <is>
          <t>Lindahl</t>
        </is>
      </c>
      <c r="E23" s="121" t="inlineStr">
        <is>
          <t>Dispute resolution</t>
        </is>
      </c>
      <c r="F23" s="121" t="inlineStr">
        <is>
          <t>Dispute resolution: CH: Band 5</t>
        </is>
      </c>
      <c r="G23" s="121" t="n"/>
      <c r="H23" s="120" t="n">
        <v>1</v>
      </c>
      <c r="I23" s="120" t="inlineStr">
        <is>
          <t>Lower</t>
        </is>
      </c>
      <c r="J23" s="121" t="n"/>
      <c r="K23" s="121" t="inlineStr">
        <is>
          <t>Mid-career / next-generation: room to lead and build a practice</t>
        </is>
      </c>
    </row>
    <row r="24">
      <c r="A24" s="120" t="inlineStr">
        <is>
          <t>A</t>
        </is>
      </c>
      <c r="B24" s="120" t="n">
        <v>3</v>
      </c>
      <c r="C24" s="121" t="inlineStr">
        <is>
          <t>Jan Byström</t>
        </is>
      </c>
      <c r="D24" s="121" t="inlineStr">
        <is>
          <t>Lindahl</t>
        </is>
      </c>
      <c r="E24" s="121" t="inlineStr">
        <is>
          <t>Corporate / M&amp;A; Private equity</t>
        </is>
      </c>
      <c r="F24" s="121" t="inlineStr">
        <is>
          <t>Corporate / M&amp;A: CH: Band 4 | Private equity: CH: Band 4</t>
        </is>
      </c>
      <c r="G24" s="121" t="n"/>
      <c r="H24" s="120" t="n">
        <v>13</v>
      </c>
      <c r="I24" s="120" t="inlineStr">
        <is>
          <t>Lower</t>
        </is>
      </c>
      <c r="J24" s="121" t="n"/>
      <c r="K24" s="121" t="inlineStr">
        <is>
          <t>Mid-career / next-generation: room to lead and build a practice; Has moved firm before (2020-24); Ranked in Corporate / M&amp;A &amp; Private equity</t>
        </is>
      </c>
    </row>
    <row r="25">
      <c r="A25" s="120" t="inlineStr">
        <is>
          <t>A</t>
        </is>
      </c>
      <c r="B25" s="120" t="n">
        <v>3</v>
      </c>
      <c r="C25" s="121" t="inlineStr">
        <is>
          <t>Moritz Veller</t>
        </is>
      </c>
      <c r="D25" s="121" t="inlineStr">
        <is>
          <t>MM Law Advokatbyrå AB</t>
        </is>
      </c>
      <c r="E25" s="121" t="inlineStr">
        <is>
          <t>Corporate / M&amp;A</t>
        </is>
      </c>
      <c r="F25" s="121" t="inlineStr">
        <is>
          <t>Corporate / M&amp;A: CH: Band 5</t>
        </is>
      </c>
      <c r="G25" s="121" t="n"/>
      <c r="H25" s="120" t="n">
        <v>5</v>
      </c>
      <c r="I25" s="120" t="inlineStr">
        <is>
          <t>Lower</t>
        </is>
      </c>
      <c r="J25" s="121" t="n"/>
      <c r="K25" s="121" t="inlineStr">
        <is>
          <t>Mid-career / next-generation: room to lead and build a practice</t>
        </is>
      </c>
    </row>
    <row r="26">
      <c r="A26" s="120" t="inlineStr">
        <is>
          <t>A</t>
        </is>
      </c>
      <c r="B26" s="120" t="n">
        <v>3</v>
      </c>
      <c r="C26" s="121" t="inlineStr">
        <is>
          <t>Magdalena Berg</t>
        </is>
      </c>
      <c r="D26" s="121" t="inlineStr">
        <is>
          <t>Magnusson</t>
        </is>
      </c>
      <c r="E26" s="121" t="inlineStr">
        <is>
          <t>Dispute resolution</t>
        </is>
      </c>
      <c r="F26" s="121" t="inlineStr">
        <is>
          <t>Dispute resolution: CH: Band 5</t>
        </is>
      </c>
      <c r="G26" s="121" t="n"/>
      <c r="H26" s="120" t="n">
        <v>1</v>
      </c>
      <c r="I26" s="120" t="inlineStr">
        <is>
          <t>Lower</t>
        </is>
      </c>
      <c r="J26" s="121" t="inlineStr">
        <is>
          <t>Merged with Gro (Oct-2026)</t>
        </is>
      </c>
      <c r="K26" s="121" t="inlineStr">
        <is>
          <t>Mid-career / next-generation: room to lead and build a practice</t>
        </is>
      </c>
    </row>
    <row r="27">
      <c r="A27" s="120" t="inlineStr">
        <is>
          <t>A</t>
        </is>
      </c>
      <c r="B27" s="120" t="n">
        <v>3</v>
      </c>
      <c r="C27" s="121" t="inlineStr">
        <is>
          <t>Christoffer Nystedt</t>
        </is>
      </c>
      <c r="D27" s="121" t="inlineStr">
        <is>
          <t>Morris Law</t>
        </is>
      </c>
      <c r="E27" s="121" t="inlineStr">
        <is>
          <t>Dispute resolution</t>
        </is>
      </c>
      <c r="F27" s="121" t="inlineStr">
        <is>
          <t>Dispute resolution: L500: Next Generation Partners</t>
        </is>
      </c>
      <c r="G27" s="121" t="n"/>
      <c r="H27" s="120" t="n"/>
      <c r="I27" s="120" t="inlineStr">
        <is>
          <t>Lower</t>
        </is>
      </c>
      <c r="J27" s="121" t="inlineStr">
        <is>
          <t>AGRD (PE-owned) member: lawyers left the Bar; partners wishing to remain advokater may move</t>
        </is>
      </c>
      <c r="K27" s="121" t="inlineStr">
        <is>
          <t>AGRD (PE-owned) member: lawyers left the Bar; partners wishing to remain advokater may move; Mid-career / next-generation: room to lead and build a practice</t>
        </is>
      </c>
    </row>
    <row r="28">
      <c r="A28" s="120" t="inlineStr">
        <is>
          <t>A</t>
        </is>
      </c>
      <c r="B28" s="120" t="n">
        <v>3</v>
      </c>
      <c r="C28" s="121" t="inlineStr">
        <is>
          <t>Charlotta Falkman</t>
        </is>
      </c>
      <c r="D28" s="121" t="inlineStr">
        <is>
          <t>Nybron Advokater</t>
        </is>
      </c>
      <c r="E28" s="121" t="inlineStr">
        <is>
          <t>Dispute resolution</t>
        </is>
      </c>
      <c r="F28" s="121" t="inlineStr">
        <is>
          <t>Dispute resolution: CH: Band 4</t>
        </is>
      </c>
      <c r="G28" s="121" t="n"/>
      <c r="H28" s="120" t="n">
        <v>0</v>
      </c>
      <c r="I28" s="120" t="inlineStr">
        <is>
          <t>Lower</t>
        </is>
      </c>
      <c r="J28" s="121" t="n"/>
      <c r="K28" s="121" t="inlineStr">
        <is>
          <t>Mid-career / next-generation: room to lead and build a practice</t>
        </is>
      </c>
    </row>
    <row r="29">
      <c r="A29" s="120" t="inlineStr">
        <is>
          <t>A</t>
        </is>
      </c>
      <c r="B29" s="120" t="n">
        <v>3</v>
      </c>
      <c r="C29" s="121" t="inlineStr">
        <is>
          <t>Marcus Johansson</t>
        </is>
      </c>
      <c r="D29" s="121" t="inlineStr">
        <is>
          <t>Nybron Advokater</t>
        </is>
      </c>
      <c r="E29" s="121" t="inlineStr">
        <is>
          <t>Dispute resolution</t>
        </is>
      </c>
      <c r="F29" s="121" t="inlineStr">
        <is>
          <t>Dispute resolution: CH: Band 4</t>
        </is>
      </c>
      <c r="G29" s="121" t="n"/>
      <c r="H29" s="120" t="n">
        <v>0</v>
      </c>
      <c r="I29" s="120" t="inlineStr">
        <is>
          <t>Lower</t>
        </is>
      </c>
      <c r="J29" s="121" t="n"/>
      <c r="K29" s="121" t="inlineStr">
        <is>
          <t>Mid-career / next-generation: room to lead and build a practice</t>
        </is>
      </c>
    </row>
    <row r="30">
      <c r="A30" s="120" t="inlineStr">
        <is>
          <t>A</t>
        </is>
      </c>
      <c r="B30" s="120" t="n">
        <v>3</v>
      </c>
      <c r="C30" s="121" t="inlineStr">
        <is>
          <t>Karl Guterstam</t>
        </is>
      </c>
      <c r="D30" s="121" t="inlineStr">
        <is>
          <t>Sandart &amp; Partners</t>
        </is>
      </c>
      <c r="E30" s="121" t="inlineStr">
        <is>
          <t>Dispute resolution</t>
        </is>
      </c>
      <c r="F30" s="121" t="inlineStr">
        <is>
          <t>Dispute resolution: CH: Up and Coming</t>
        </is>
      </c>
      <c r="G30" s="121" t="n"/>
      <c r="H30" s="120" t="n">
        <v>2</v>
      </c>
      <c r="I30" s="120" t="inlineStr">
        <is>
          <t>Lower</t>
        </is>
      </c>
      <c r="J30" s="121" t="n"/>
      <c r="K30" s="121" t="inlineStr">
        <is>
          <t>Mid-career / next-generation: room to lead and build a practice</t>
        </is>
      </c>
    </row>
    <row r="31">
      <c r="A31" s="120" t="inlineStr">
        <is>
          <t>A</t>
        </is>
      </c>
      <c r="B31" s="120" t="n">
        <v>3</v>
      </c>
      <c r="C31" s="121" t="inlineStr">
        <is>
          <t>Pontus Bergsten</t>
        </is>
      </c>
      <c r="D31" s="121" t="inlineStr">
        <is>
          <t>Schjødt</t>
        </is>
      </c>
      <c r="E31" s="121" t="inlineStr">
        <is>
          <t>Corporate / M&amp;A</t>
        </is>
      </c>
      <c r="F31" s="121" t="inlineStr">
        <is>
          <t>Corporate / M&amp;A: CH: Band 4</t>
        </is>
      </c>
      <c r="G31" s="121" t="inlineStr">
        <is>
          <t>Department head</t>
        </is>
      </c>
      <c r="H31" s="120" t="n">
        <v>12</v>
      </c>
      <c r="I31" s="120" t="inlineStr">
        <is>
          <t>Medium</t>
        </is>
      </c>
      <c r="J31" s="121" t="inlineStr">
        <is>
          <t>Lost 8 Stockholm partners to BAHR (2025-26)</t>
        </is>
      </c>
      <c r="K31" s="121" t="inlineStr">
        <is>
          <t>Firm under pressure: Lost 8 Stockholm partners to BAHR (2025-26); Mid-career / next-generation: room to lead and build a practice</t>
        </is>
      </c>
    </row>
    <row r="32">
      <c r="A32" s="120" t="inlineStr">
        <is>
          <t>A</t>
        </is>
      </c>
      <c r="B32" s="120" t="n">
        <v>3</v>
      </c>
      <c r="C32" s="121" t="inlineStr">
        <is>
          <t>Anders Holmgren</t>
        </is>
      </c>
      <c r="D32" s="121" t="inlineStr">
        <is>
          <t>Setterwalls</t>
        </is>
      </c>
      <c r="E32" s="121" t="inlineStr">
        <is>
          <t>Corporate / M&amp;A</t>
        </is>
      </c>
      <c r="F32" s="121" t="inlineStr">
        <is>
          <t>Corporate / M&amp;A: CH: Band 5</t>
        </is>
      </c>
      <c r="G32" s="121" t="n"/>
      <c r="H32" s="120" t="n">
        <v>1</v>
      </c>
      <c r="I32" s="120" t="inlineStr">
        <is>
          <t>High</t>
        </is>
      </c>
      <c r="J32" s="121" t="inlineStr">
        <is>
          <t>Malmö office (12 partners) left for AGRD, Sep-2026</t>
        </is>
      </c>
      <c r="K32" s="121" t="inlineStr">
        <is>
          <t>Firm under pressure: Malmö office (12 partners) left for AGRD, Sep-2026; Mid-career / next-generation: room to lead and build a practice; Likely pay cut vs current profit share: needs equity / upside story</t>
        </is>
      </c>
    </row>
    <row r="33">
      <c r="A33" s="120" t="inlineStr">
        <is>
          <t>A</t>
        </is>
      </c>
      <c r="B33" s="120" t="n">
        <v>3</v>
      </c>
      <c r="C33" s="121" t="inlineStr">
        <is>
          <t>Linnea Gävbo</t>
        </is>
      </c>
      <c r="D33" s="121" t="inlineStr">
        <is>
          <t>Setterwalls</t>
        </is>
      </c>
      <c r="E33" s="121" t="inlineStr">
        <is>
          <t>Private equity</t>
        </is>
      </c>
      <c r="F33" s="121" t="inlineStr">
        <is>
          <t>Private equity: CH: Up and Coming</t>
        </is>
      </c>
      <c r="G33" s="121" t="n"/>
      <c r="H33" s="120" t="n">
        <v>1</v>
      </c>
      <c r="I33" s="120" t="inlineStr">
        <is>
          <t>High</t>
        </is>
      </c>
      <c r="J33" s="121" t="inlineStr">
        <is>
          <t>Malmö office (12 partners) left for AGRD, Sep-2026</t>
        </is>
      </c>
      <c r="K33" s="121" t="inlineStr">
        <is>
          <t>Firm under pressure: Malmö office (12 partners) left for AGRD, Sep-2026; Mid-career / next-generation: room to lead and build a practice; Likely pay cut vs current profit share: needs equity / upside story</t>
        </is>
      </c>
    </row>
    <row r="34">
      <c r="A34" s="120" t="inlineStr">
        <is>
          <t>A</t>
        </is>
      </c>
      <c r="B34" s="120" t="n">
        <v>3</v>
      </c>
      <c r="C34" s="121" t="inlineStr">
        <is>
          <t>Carolina Wahlby</t>
        </is>
      </c>
      <c r="D34" s="121" t="inlineStr">
        <is>
          <t>Snellman</t>
        </is>
      </c>
      <c r="E34" s="121" t="inlineStr">
        <is>
          <t>Banking &amp; finance</t>
        </is>
      </c>
      <c r="F34" s="121" t="inlineStr">
        <is>
          <t>Banking &amp; finance: L500: Next Generation Partners</t>
        </is>
      </c>
      <c r="G34" s="121" t="inlineStr">
        <is>
          <t>Partner</t>
        </is>
      </c>
      <c r="H34" s="120" t="n"/>
      <c r="I34" s="120" t="inlineStr">
        <is>
          <t>Medium</t>
        </is>
      </c>
      <c r="J34" s="121" t="inlineStr">
        <is>
          <t>Separated from Hannes Snellman (2024); ~5 partner exits since 2024 incl. heads of competition and disputes</t>
        </is>
      </c>
      <c r="K34" s="121" t="inlineStr">
        <is>
          <t>Firm under pressure: Separated from Hannes Snellman (2024); ~5 partner exits since 2024 incl. heads of competition and disputes; Mid-career / next-generation: room to lead and build a practice</t>
        </is>
      </c>
    </row>
    <row r="35">
      <c r="A35" s="120" t="inlineStr">
        <is>
          <t>A</t>
        </is>
      </c>
      <c r="B35" s="120" t="n">
        <v>3</v>
      </c>
      <c r="C35" s="121" t="inlineStr">
        <is>
          <t>Mikael Klang</t>
        </is>
      </c>
      <c r="D35" s="121" t="inlineStr">
        <is>
          <t>Snellman</t>
        </is>
      </c>
      <c r="E35" s="121" t="inlineStr">
        <is>
          <t>Private equity</t>
        </is>
      </c>
      <c r="F35" s="121" t="inlineStr">
        <is>
          <t>Private equity: CH: Band 3</t>
        </is>
      </c>
      <c r="G35" s="121" t="n"/>
      <c r="H35" s="120" t="n">
        <v>14</v>
      </c>
      <c r="I35" s="120" t="inlineStr">
        <is>
          <t>Medium</t>
        </is>
      </c>
      <c r="J35" s="121" t="inlineStr">
        <is>
          <t>Separated from Hannes Snellman (2024); ~5 partner exits since 2024 incl. heads of competition and disputes</t>
        </is>
      </c>
      <c r="K35" s="121" t="inlineStr">
        <is>
          <t>Firm under pressure: Separated from Hannes Snellman (2024); ~5 partner exits since 2024 incl. heads of competition and disputes; Mid-career / next-generation: room to lead and build a practice</t>
        </is>
      </c>
    </row>
    <row r="36">
      <c r="A36" s="120" t="inlineStr">
        <is>
          <t>A</t>
        </is>
      </c>
      <c r="B36" s="120" t="n">
        <v>3</v>
      </c>
      <c r="C36" s="121" t="inlineStr">
        <is>
          <t>Andreas Eriksson</t>
        </is>
      </c>
      <c r="D36" s="121" t="inlineStr">
        <is>
          <t>TIME DANOWSKY Advokatbyrå AB</t>
        </is>
      </c>
      <c r="E36" s="121" t="inlineStr">
        <is>
          <t>Dispute resolution</t>
        </is>
      </c>
      <c r="F36" s="121" t="inlineStr">
        <is>
          <t>Dispute resolution: CH: Band 4</t>
        </is>
      </c>
      <c r="G36" s="121" t="n"/>
      <c r="H36" s="120" t="n">
        <v>0</v>
      </c>
      <c r="I36" s="120" t="inlineStr">
        <is>
          <t>Lower</t>
        </is>
      </c>
      <c r="J36" s="121" t="n"/>
      <c r="K36" s="121" t="inlineStr">
        <is>
          <t>Mid-career / next-generation: room to lead and build a practice</t>
        </is>
      </c>
    </row>
    <row r="37">
      <c r="A37" s="120" t="inlineStr">
        <is>
          <t>A</t>
        </is>
      </c>
      <c r="B37" s="120" t="n">
        <v>3</v>
      </c>
      <c r="C37" s="121" t="inlineStr">
        <is>
          <t>Cecilia Rudels</t>
        </is>
      </c>
      <c r="D37" s="121" t="inlineStr">
        <is>
          <t>TM &amp; Partners</t>
        </is>
      </c>
      <c r="E37" s="121" t="inlineStr">
        <is>
          <t>Banking &amp; finance</t>
        </is>
      </c>
      <c r="F37" s="121" t="inlineStr">
        <is>
          <t>Banking &amp; finance: CH: Band 3</t>
        </is>
      </c>
      <c r="G37" s="121" t="n"/>
      <c r="H37" s="120" t="n">
        <v>12</v>
      </c>
      <c r="I37" s="120" t="inlineStr">
        <is>
          <t>Lower</t>
        </is>
      </c>
      <c r="J37" s="121" t="inlineStr">
        <is>
          <t>AGRD (PE-owned) member: lawyers left the Bar; partners wishing to remain advokater may move</t>
        </is>
      </c>
      <c r="K37" s="121" t="inlineStr">
        <is>
          <t>AGRD (PE-owned) member: lawyers left the Bar; partners wishing to remain advokater may move; Mid-career / next-generation: room to lead and build a practice</t>
        </is>
      </c>
    </row>
    <row r="38">
      <c r="A38" s="120" t="inlineStr">
        <is>
          <t>A</t>
        </is>
      </c>
      <c r="B38" s="120" t="n">
        <v>3</v>
      </c>
      <c r="C38" s="121" t="inlineStr">
        <is>
          <t>Sten Hedbäck</t>
        </is>
      </c>
      <c r="D38" s="121" t="inlineStr">
        <is>
          <t>TM &amp; Partners</t>
        </is>
      </c>
      <c r="E38" s="121" t="inlineStr">
        <is>
          <t>Corporate / M&amp;A</t>
        </is>
      </c>
      <c r="F38" s="121" t="inlineStr">
        <is>
          <t>Corporate / M&amp;A: CH: Band 5</t>
        </is>
      </c>
      <c r="G38" s="121" t="n"/>
      <c r="H38" s="120" t="n">
        <v>9</v>
      </c>
      <c r="I38" s="120" t="inlineStr">
        <is>
          <t>Lower</t>
        </is>
      </c>
      <c r="J38" s="121" t="inlineStr">
        <is>
          <t>AGRD (PE-owned) member: lawyers left the Bar; partners wishing to remain advokater may move</t>
        </is>
      </c>
      <c r="K38" s="121" t="inlineStr">
        <is>
          <t>AGRD (PE-owned) member: lawyers left the Bar; partners wishing to remain advokater may move; Mid-career / next-generation: room to lead and build a practice</t>
        </is>
      </c>
    </row>
    <row r="39">
      <c r="A39" s="120" t="inlineStr">
        <is>
          <t>A</t>
        </is>
      </c>
      <c r="B39" s="120" t="n">
        <v>3</v>
      </c>
      <c r="C39" s="121" t="inlineStr">
        <is>
          <t>Henrik Wenckert</t>
        </is>
      </c>
      <c r="D39" s="121" t="inlineStr">
        <is>
          <t>Wigge &amp; Partners</t>
        </is>
      </c>
      <c r="E39" s="121" t="inlineStr">
        <is>
          <t>Corporate / M&amp;A</t>
        </is>
      </c>
      <c r="F39" s="121" t="inlineStr">
        <is>
          <t>Corporate / M&amp;A: CH: Band 5</t>
        </is>
      </c>
      <c r="G39" s="121" t="n"/>
      <c r="H39" s="120" t="n">
        <v>10</v>
      </c>
      <c r="I39" s="120" t="inlineStr">
        <is>
          <t>Lower</t>
        </is>
      </c>
      <c r="J39" s="121" t="inlineStr">
        <is>
          <t>AGRD (PE-owned) member: lawyers left the Bar; partners wishing to remain advokater may move</t>
        </is>
      </c>
      <c r="K39" s="121" t="inlineStr">
        <is>
          <t>AGRD (PE-owned) member: lawyers left the Bar; partners wishing to remain advokater may move; Mid-career / next-generation: room to lead and build a practice</t>
        </is>
      </c>
    </row>
    <row r="40">
      <c r="A40" s="94" t="inlineStr">
        <is>
          <t>B</t>
        </is>
      </c>
      <c r="B40" s="94" t="n">
        <v>2</v>
      </c>
      <c r="C40" s="69" t="inlineStr">
        <is>
          <t>Anders Fast</t>
        </is>
      </c>
      <c r="D40" s="69" t="inlineStr">
        <is>
          <t>Baker McKenzie</t>
        </is>
      </c>
      <c r="E40" s="69" t="inlineStr">
        <is>
          <t>Corporate / M&amp;A</t>
        </is>
      </c>
      <c r="F40" s="69" t="inlineStr">
        <is>
          <t>Corporate / M&amp;A: CH: Band 5</t>
        </is>
      </c>
      <c r="G40" s="69" t="n"/>
      <c r="H40" s="94" t="n">
        <v>20</v>
      </c>
      <c r="I40" s="94" t="inlineStr">
        <is>
          <t>Medium</t>
        </is>
      </c>
      <c r="J40" s="69" t="inlineStr">
        <is>
          <t>2 partner exits 2025-26; moving away from billable hour</t>
        </is>
      </c>
      <c r="K40" s="69" t="inlineStr">
        <is>
          <t>Firm under pressure: 2 partner exits 2025-26; moving away from billable hour; Mid-career / next-generation: room to lead and build a practice</t>
        </is>
      </c>
    </row>
    <row r="41">
      <c r="A41" s="94" t="inlineStr">
        <is>
          <t>B</t>
        </is>
      </c>
      <c r="B41" s="94" t="n">
        <v>2</v>
      </c>
      <c r="C41" s="69" t="inlineStr">
        <is>
          <t>Carl M Svernlöv</t>
        </is>
      </c>
      <c r="D41" s="69" t="inlineStr">
        <is>
          <t>Baker McKenzie</t>
        </is>
      </c>
      <c r="E41" s="69" t="inlineStr">
        <is>
          <t>Corporate / M&amp;A</t>
        </is>
      </c>
      <c r="F41" s="69" t="inlineStr">
        <is>
          <t>Corporate / M&amp;A: CH: Band 3</t>
        </is>
      </c>
      <c r="G41" s="69" t="inlineStr">
        <is>
          <t>Department head</t>
        </is>
      </c>
      <c r="H41" s="94" t="n">
        <v>18</v>
      </c>
      <c r="I41" s="94" t="inlineStr">
        <is>
          <t>Medium</t>
        </is>
      </c>
      <c r="J41" s="69" t="inlineStr">
        <is>
          <t>2 partner exits 2025-26; moving away from billable hour</t>
        </is>
      </c>
      <c r="K41" s="69" t="inlineStr">
        <is>
          <t>Firm under pressure: 2 partner exits 2025-26; moving away from billable hour; Mid-career / next-generation: room to lead and build a practice</t>
        </is>
      </c>
    </row>
    <row r="42">
      <c r="A42" s="94" t="inlineStr">
        <is>
          <t>B</t>
        </is>
      </c>
      <c r="B42" s="94" t="n">
        <v>2</v>
      </c>
      <c r="C42" s="69" t="inlineStr">
        <is>
          <t>Mats Rooth</t>
        </is>
      </c>
      <c r="D42" s="69" t="inlineStr">
        <is>
          <t>Baker McKenzie</t>
        </is>
      </c>
      <c r="E42" s="69" t="inlineStr">
        <is>
          <t>Banking &amp; finance</t>
        </is>
      </c>
      <c r="F42" s="69" t="inlineStr">
        <is>
          <t>Banking &amp; finance: CH: Band 3</t>
        </is>
      </c>
      <c r="G42" s="69" t="n"/>
      <c r="H42" s="94" t="n">
        <v>18</v>
      </c>
      <c r="I42" s="94" t="inlineStr">
        <is>
          <t>Medium</t>
        </is>
      </c>
      <c r="J42" s="69" t="inlineStr">
        <is>
          <t>2 partner exits 2025-26; moving away from billable hour</t>
        </is>
      </c>
      <c r="K42" s="69" t="inlineStr">
        <is>
          <t>Firm under pressure: 2 partner exits 2025-26; moving away from billable hour; Mid-career / next-generation: room to lead and build a practice</t>
        </is>
      </c>
    </row>
    <row r="43">
      <c r="A43" s="94" t="inlineStr">
        <is>
          <t>B</t>
        </is>
      </c>
      <c r="B43" s="94" t="n">
        <v>2</v>
      </c>
      <c r="C43" s="69" t="inlineStr">
        <is>
          <t>Carl-Johan Deuschl</t>
        </is>
      </c>
      <c r="D43" s="69" t="inlineStr">
        <is>
          <t>Cederquist</t>
        </is>
      </c>
      <c r="E43" s="69" t="inlineStr">
        <is>
          <t>Corporate / M&amp;A</t>
        </is>
      </c>
      <c r="F43" s="69" t="inlineStr">
        <is>
          <t>Corporate / M&amp;A: L500: Leading partners</t>
        </is>
      </c>
      <c r="G43" s="69" t="inlineStr">
        <is>
          <t>Partner. M&amp;A</t>
        </is>
      </c>
      <c r="H43" s="94" t="n"/>
      <c r="I43" s="94" t="inlineStr">
        <is>
          <t>Medium</t>
        </is>
      </c>
      <c r="J43" s="69" t="inlineStr">
        <is>
          <t>3 partner exits 2023-25 incl. ex-MP (RE:FI STHLM spin-out)</t>
        </is>
      </c>
      <c r="K43" s="69" t="inlineStr">
        <is>
          <t>Firm under pressure: 3 partner exits 2023-25 incl. ex-MP (RE:FI STHLM spin-out)</t>
        </is>
      </c>
    </row>
    <row r="44">
      <c r="A44" s="94" t="inlineStr">
        <is>
          <t>B</t>
        </is>
      </c>
      <c r="B44" s="94" t="n">
        <v>2</v>
      </c>
      <c r="C44" s="69" t="inlineStr">
        <is>
          <t>Elsa Arbrandt</t>
        </is>
      </c>
      <c r="D44" s="69" t="inlineStr">
        <is>
          <t>Cederquist</t>
        </is>
      </c>
      <c r="E44" s="69" t="inlineStr">
        <is>
          <t>Dispute resolution</t>
        </is>
      </c>
      <c r="F44" s="69" t="inlineStr">
        <is>
          <t>Dispute resolution: L500: Leading partners</t>
        </is>
      </c>
      <c r="G44" s="69" t="n"/>
      <c r="H44" s="94" t="n"/>
      <c r="I44" s="94" t="inlineStr">
        <is>
          <t>Medium</t>
        </is>
      </c>
      <c r="J44" s="69" t="inlineStr">
        <is>
          <t>3 partner exits 2023-25 incl. ex-MP (RE:FI STHLM spin-out)</t>
        </is>
      </c>
      <c r="K44" s="69" t="inlineStr">
        <is>
          <t>Firm under pressure: 3 partner exits 2023-25 incl. ex-MP (RE:FI STHLM spin-out)</t>
        </is>
      </c>
    </row>
    <row r="45">
      <c r="A45" s="94" t="inlineStr">
        <is>
          <t>B</t>
        </is>
      </c>
      <c r="B45" s="94" t="n">
        <v>2</v>
      </c>
      <c r="C45" s="69" t="inlineStr">
        <is>
          <t>Per Henriksson</t>
        </is>
      </c>
      <c r="D45" s="69" t="inlineStr">
        <is>
          <t>Cederquist</t>
        </is>
      </c>
      <c r="E45" s="69" t="inlineStr">
        <is>
          <t>Banking &amp; finance</t>
        </is>
      </c>
      <c r="F45" s="69" t="inlineStr">
        <is>
          <t>Banking &amp; finance: CH: Band 1</t>
        </is>
      </c>
      <c r="G45" s="69" t="n"/>
      <c r="H45" s="94" t="n">
        <v>5</v>
      </c>
      <c r="I45" s="94" t="inlineStr">
        <is>
          <t>Medium</t>
        </is>
      </c>
      <c r="J45" s="69" t="inlineStr">
        <is>
          <t>3 partner exits 2023-25 incl. ex-MP (RE:FI STHLM spin-out)</t>
        </is>
      </c>
      <c r="K45" s="69" t="inlineStr">
        <is>
          <t>Firm under pressure: 3 partner exits 2023-25 incl. ex-MP (RE:FI STHLM spin-out); Senior market leader: hard to move; possible senior adviser / team anchor</t>
        </is>
      </c>
    </row>
    <row r="46">
      <c r="A46" s="94" t="inlineStr">
        <is>
          <t>B</t>
        </is>
      </c>
      <c r="B46" s="94" t="n">
        <v>2</v>
      </c>
      <c r="C46" s="69" t="inlineStr">
        <is>
          <t>Anders Moberg</t>
        </is>
      </c>
      <c r="D46" s="69" t="inlineStr">
        <is>
          <t>Cirio</t>
        </is>
      </c>
      <c r="E46" s="69" t="inlineStr">
        <is>
          <t>Corporate / M&amp;A</t>
        </is>
      </c>
      <c r="F46" s="69" t="inlineStr">
        <is>
          <t>Corporate / M&amp;A: CH: Band 5</t>
        </is>
      </c>
      <c r="G46" s="69" t="n"/>
      <c r="H46" s="94" t="n">
        <v>1</v>
      </c>
      <c r="I46" s="94" t="inlineStr">
        <is>
          <t>Medium</t>
        </is>
      </c>
      <c r="J46" s="69" t="inlineStr">
        <is>
          <t>Growing (+15% 2025); net partner gainer</t>
        </is>
      </c>
      <c r="K46" s="69" t="inlineStr">
        <is>
          <t>Mid-career / next-generation: room to lead and build a practice</t>
        </is>
      </c>
    </row>
    <row r="47">
      <c r="A47" s="94" t="inlineStr">
        <is>
          <t>B</t>
        </is>
      </c>
      <c r="B47" s="94" t="n">
        <v>2</v>
      </c>
      <c r="C47" s="69" t="inlineStr">
        <is>
          <t>Daniel Lander</t>
        </is>
      </c>
      <c r="D47" s="69" t="inlineStr">
        <is>
          <t>Cirio</t>
        </is>
      </c>
      <c r="E47" s="69" t="inlineStr">
        <is>
          <t>Dispute resolution</t>
        </is>
      </c>
      <c r="F47" s="69" t="inlineStr">
        <is>
          <t>Dispute resolution: CH: Band 5</t>
        </is>
      </c>
      <c r="G47" s="69" t="n"/>
      <c r="H47" s="94" t="n">
        <v>1</v>
      </c>
      <c r="I47" s="94" t="inlineStr">
        <is>
          <t>Medium</t>
        </is>
      </c>
      <c r="J47" s="69" t="inlineStr">
        <is>
          <t>Growing (+15% 2025); net partner gainer</t>
        </is>
      </c>
      <c r="K47" s="69" t="inlineStr">
        <is>
          <t>Mid-career / next-generation: room to lead and build a practice</t>
        </is>
      </c>
    </row>
    <row r="48">
      <c r="A48" s="94" t="inlineStr">
        <is>
          <t>B</t>
        </is>
      </c>
      <c r="B48" s="94" t="n">
        <v>2</v>
      </c>
      <c r="C48" s="69" t="inlineStr">
        <is>
          <t>David Johansson</t>
        </is>
      </c>
      <c r="D48" s="69" t="inlineStr">
        <is>
          <t>DLA Piper</t>
        </is>
      </c>
      <c r="E48" s="69" t="inlineStr">
        <is>
          <t>Dispute resolution</t>
        </is>
      </c>
      <c r="F48" s="69" t="inlineStr">
        <is>
          <t>Dispute resolution: L500: Next Generation Partners, CH: Band 5</t>
        </is>
      </c>
      <c r="G48" s="69" t="n"/>
      <c r="H48" s="94" t="n">
        <v>4</v>
      </c>
      <c r="I48" s="94" t="inlineStr">
        <is>
          <t>Medium</t>
        </is>
      </c>
      <c r="J48" s="69" t="inlineStr">
        <is>
          <t>Revenue -9% FY24/25; net partner gainer</t>
        </is>
      </c>
      <c r="K48" s="69" t="inlineStr">
        <is>
          <t>Mid-career / next-generation: room to lead and build a practice</t>
        </is>
      </c>
    </row>
    <row r="49">
      <c r="A49" s="94" t="inlineStr">
        <is>
          <t>B</t>
        </is>
      </c>
      <c r="B49" s="94" t="n">
        <v>2</v>
      </c>
      <c r="C49" s="69" t="inlineStr">
        <is>
          <t>Karl-Oscar Dalin</t>
        </is>
      </c>
      <c r="D49" s="69" t="inlineStr">
        <is>
          <t>DLA Piper</t>
        </is>
      </c>
      <c r="E49" s="69" t="inlineStr">
        <is>
          <t>Dispute resolution</t>
        </is>
      </c>
      <c r="F49" s="69" t="inlineStr">
        <is>
          <t>Dispute resolution: CH: Band 4</t>
        </is>
      </c>
      <c r="G49" s="69" t="n"/>
      <c r="H49" s="94" t="n">
        <v>2</v>
      </c>
      <c r="I49" s="94" t="inlineStr">
        <is>
          <t>Medium</t>
        </is>
      </c>
      <c r="J49" s="69" t="inlineStr">
        <is>
          <t>Revenue -9% FY24/25; net partner gainer</t>
        </is>
      </c>
      <c r="K49" s="69" t="inlineStr">
        <is>
          <t>Mid-career / next-generation: room to lead and build a practice</t>
        </is>
      </c>
    </row>
    <row r="50">
      <c r="A50" s="94" t="inlineStr">
        <is>
          <t>B</t>
        </is>
      </c>
      <c r="B50" s="94" t="n">
        <v>2</v>
      </c>
      <c r="C50" s="69" t="inlineStr">
        <is>
          <t>Mikael Moreira</t>
        </is>
      </c>
      <c r="D50" s="69" t="inlineStr">
        <is>
          <t>DLA Piper</t>
        </is>
      </c>
      <c r="E50" s="69" t="inlineStr">
        <is>
          <t>Private equity</t>
        </is>
      </c>
      <c r="F50" s="69" t="inlineStr">
        <is>
          <t>Private equity: CH: Band 3</t>
        </is>
      </c>
      <c r="G50" s="69" t="n"/>
      <c r="H50" s="94" t="n">
        <v>3</v>
      </c>
      <c r="I50" s="94" t="inlineStr">
        <is>
          <t>Medium</t>
        </is>
      </c>
      <c r="J50" s="69" t="inlineStr">
        <is>
          <t>Revenue -9% FY24/25; net partner gainer</t>
        </is>
      </c>
      <c r="K50" s="69" t="inlineStr">
        <is>
          <t>Mid-career / next-generation: room to lead and build a practice</t>
        </is>
      </c>
    </row>
    <row r="51">
      <c r="A51" s="94" t="inlineStr">
        <is>
          <t>B</t>
        </is>
      </c>
      <c r="B51" s="94" t="n">
        <v>2</v>
      </c>
      <c r="C51" s="69" t="inlineStr">
        <is>
          <t>Petter Kjöllerström</t>
        </is>
      </c>
      <c r="D51" s="69" t="inlineStr">
        <is>
          <t>DLA Piper</t>
        </is>
      </c>
      <c r="E51" s="69" t="inlineStr">
        <is>
          <t>Corporate / M&amp;A</t>
        </is>
      </c>
      <c r="F51" s="69" t="inlineStr">
        <is>
          <t>Corporate / M&amp;A: CH: Band 5</t>
        </is>
      </c>
      <c r="G51" s="69" t="n"/>
      <c r="H51" s="94" t="n">
        <v>1</v>
      </c>
      <c r="I51" s="94" t="inlineStr">
        <is>
          <t>Medium</t>
        </is>
      </c>
      <c r="J51" s="69" t="inlineStr">
        <is>
          <t>Revenue -9% FY24/25; net partner gainer</t>
        </is>
      </c>
      <c r="K51" s="69" t="inlineStr">
        <is>
          <t>Mid-career / next-generation: room to lead and build a practice</t>
        </is>
      </c>
    </row>
    <row r="52">
      <c r="A52" s="94" t="inlineStr">
        <is>
          <t>B</t>
        </is>
      </c>
      <c r="B52" s="94" t="n">
        <v>2</v>
      </c>
      <c r="C52" s="69" t="inlineStr">
        <is>
          <t>Erik Fahlgren</t>
        </is>
      </c>
      <c r="D52" s="69" t="inlineStr">
        <is>
          <t>Hammarskiöld</t>
        </is>
      </c>
      <c r="E52" s="69" t="inlineStr">
        <is>
          <t>Corporate / M&amp;A</t>
        </is>
      </c>
      <c r="F52" s="69" t="inlineStr">
        <is>
          <t>Corporate / M&amp;A: CH: Band 5</t>
        </is>
      </c>
      <c r="G52" s="69" t="n"/>
      <c r="H52" s="94" t="n">
        <v>5</v>
      </c>
      <c r="I52" s="94" t="inlineStr">
        <is>
          <t>Medium</t>
        </is>
      </c>
      <c r="J52" s="69" t="n"/>
      <c r="K52" s="69" t="inlineStr">
        <is>
          <t>Mid-career / next-generation: room to lead and build a practice</t>
        </is>
      </c>
    </row>
    <row r="53">
      <c r="A53" s="94" t="inlineStr">
        <is>
          <t>B</t>
        </is>
      </c>
      <c r="B53" s="94" t="n">
        <v>2</v>
      </c>
      <c r="C53" s="69" t="inlineStr">
        <is>
          <t>Erik Löfwall</t>
        </is>
      </c>
      <c r="D53" s="69" t="inlineStr">
        <is>
          <t>Hammarskiöld</t>
        </is>
      </c>
      <c r="E53" s="69" t="inlineStr">
        <is>
          <t>Corporate / M&amp;A</t>
        </is>
      </c>
      <c r="F53" s="69" t="inlineStr">
        <is>
          <t>Corporate / M&amp;A: CH: Band 5</t>
        </is>
      </c>
      <c r="G53" s="69" t="n"/>
      <c r="H53" s="94" t="n">
        <v>5</v>
      </c>
      <c r="I53" s="94" t="inlineStr">
        <is>
          <t>Medium</t>
        </is>
      </c>
      <c r="J53" s="69" t="n"/>
      <c r="K53" s="69" t="inlineStr">
        <is>
          <t>Mid-career / next-generation: room to lead and build a practice</t>
        </is>
      </c>
    </row>
    <row r="54">
      <c r="A54" s="94" t="inlineStr">
        <is>
          <t>B</t>
        </is>
      </c>
      <c r="B54" s="94" t="n">
        <v>2</v>
      </c>
      <c r="C54" s="69" t="inlineStr">
        <is>
          <t>Rasmus Fahlén</t>
        </is>
      </c>
      <c r="D54" s="69" t="inlineStr">
        <is>
          <t>Hammarskiöld</t>
        </is>
      </c>
      <c r="E54" s="69" t="inlineStr">
        <is>
          <t>Banking &amp; finance</t>
        </is>
      </c>
      <c r="F54" s="69" t="inlineStr">
        <is>
          <t>Banking &amp; finance: L500: Next Generation Partners</t>
        </is>
      </c>
      <c r="G54" s="69" t="inlineStr">
        <is>
          <t>Partner</t>
        </is>
      </c>
      <c r="H54" s="94" t="n">
        <v>2</v>
      </c>
      <c r="I54" s="94" t="inlineStr">
        <is>
          <t>Medium</t>
        </is>
      </c>
      <c r="J54" s="69" t="n"/>
      <c r="K54" s="69" t="inlineStr">
        <is>
          <t>Mid-career / next-generation: room to lead and build a practice</t>
        </is>
      </c>
    </row>
    <row r="55">
      <c r="A55" s="94" t="inlineStr">
        <is>
          <t>B</t>
        </is>
      </c>
      <c r="B55" s="94" t="n">
        <v>2</v>
      </c>
      <c r="C55" s="69" t="inlineStr">
        <is>
          <t>Sandra Kaznova</t>
        </is>
      </c>
      <c r="D55" s="69" t="inlineStr">
        <is>
          <t>Hammarskiöld</t>
        </is>
      </c>
      <c r="E55" s="69" t="inlineStr">
        <is>
          <t>Dispute resolution</t>
        </is>
      </c>
      <c r="F55" s="69" t="inlineStr">
        <is>
          <t>Dispute resolution: CH: Band 3</t>
        </is>
      </c>
      <c r="G55" s="69" t="inlineStr">
        <is>
          <t>Department head</t>
        </is>
      </c>
      <c r="H55" s="94" t="n">
        <v>4</v>
      </c>
      <c r="I55" s="94" t="inlineStr">
        <is>
          <t>Medium</t>
        </is>
      </c>
      <c r="J55" s="69" t="n"/>
      <c r="K55" s="69" t="inlineStr">
        <is>
          <t>Mid-career / next-generation: room to lead and build a practice</t>
        </is>
      </c>
    </row>
    <row r="56">
      <c r="A56" s="94" t="inlineStr">
        <is>
          <t>B</t>
        </is>
      </c>
      <c r="B56" s="94" t="n">
        <v>2</v>
      </c>
      <c r="C56" s="69" t="inlineStr">
        <is>
          <t>Carl Norén</t>
        </is>
      </c>
      <c r="D56" s="69" t="inlineStr">
        <is>
          <t>Kastell</t>
        </is>
      </c>
      <c r="E56" s="69" t="inlineStr">
        <is>
          <t>Dispute resolution</t>
        </is>
      </c>
      <c r="F56" s="69" t="inlineStr">
        <is>
          <t>Dispute resolution: CH: Band 4</t>
        </is>
      </c>
      <c r="G56" s="69" t="n"/>
      <c r="H56" s="94" t="n">
        <v>13</v>
      </c>
      <c r="I56" s="94" t="inlineStr">
        <is>
          <t>Lower</t>
        </is>
      </c>
      <c r="J56" s="69" t="n"/>
      <c r="K56" s="69" t="inlineStr">
        <is>
          <t>Mid-career / next-generation: room to lead and build a practice</t>
        </is>
      </c>
    </row>
    <row r="57">
      <c r="A57" s="94" t="inlineStr">
        <is>
          <t>B</t>
        </is>
      </c>
      <c r="B57" s="94" t="n">
        <v>2</v>
      </c>
      <c r="C57" s="69" t="inlineStr">
        <is>
          <t>Rasmus Kindlund</t>
        </is>
      </c>
      <c r="D57" s="69" t="inlineStr">
        <is>
          <t>Linklaters</t>
        </is>
      </c>
      <c r="E57" s="69" t="inlineStr">
        <is>
          <t>Corporate / M&amp;A</t>
        </is>
      </c>
      <c r="F57" s="69" t="inlineStr">
        <is>
          <t>Corporate / M&amp;A: L500: Next Generation Partners</t>
        </is>
      </c>
      <c r="G57" s="69" t="n"/>
      <c r="H57" s="94" t="n"/>
      <c r="I57" s="94" t="inlineStr">
        <is>
          <t>High</t>
        </is>
      </c>
      <c r="J57" s="69" t="inlineStr">
        <is>
          <t>No new partners for 3 years; Stockholm staff down from 88 to 75</t>
        </is>
      </c>
      <c r="K57" s="69" t="inlineStr">
        <is>
          <t>Firm under pressure: No new partners for 3 years; Stockholm staff down from 88 to 75; Mid-career / next-generation: room to lead and build a practice; Likely pay cut vs current profit share: needs equity / upside story</t>
        </is>
      </c>
    </row>
    <row r="58">
      <c r="A58" s="94" t="inlineStr">
        <is>
          <t>B</t>
        </is>
      </c>
      <c r="B58" s="94" t="n">
        <v>2</v>
      </c>
      <c r="C58" s="69" t="inlineStr">
        <is>
          <t>Racine Ashjari</t>
        </is>
      </c>
      <c r="D58" s="69" t="inlineStr">
        <is>
          <t>Morris Law</t>
        </is>
      </c>
      <c r="E58" s="69" t="inlineStr">
        <is>
          <t>Corporate / M&amp;A</t>
        </is>
      </c>
      <c r="F58" s="69" t="inlineStr">
        <is>
          <t>Corporate / M&amp;A: L500: Leading partners</t>
        </is>
      </c>
      <c r="G58" s="69" t="inlineStr">
        <is>
          <t>Partner</t>
        </is>
      </c>
      <c r="H58" s="94" t="n"/>
      <c r="I58" s="94" t="inlineStr">
        <is>
          <t>Lower</t>
        </is>
      </c>
      <c r="J58" s="69" t="inlineStr">
        <is>
          <t>AGRD (PE-owned) member: lawyers left the Bar; partners wishing to remain advokater may move</t>
        </is>
      </c>
      <c r="K58" s="69" t="inlineStr">
        <is>
          <t>AGRD (PE-owned) member: lawyers left the Bar; partners wishing to remain advokater may move</t>
        </is>
      </c>
    </row>
    <row r="59">
      <c r="A59" s="94" t="inlineStr">
        <is>
          <t>B</t>
        </is>
      </c>
      <c r="B59" s="94" t="n">
        <v>2</v>
      </c>
      <c r="C59" s="69" t="inlineStr">
        <is>
          <t>Fredrik Norburg</t>
        </is>
      </c>
      <c r="D59" s="69" t="inlineStr">
        <is>
          <t>Norburg &amp; Scherp</t>
        </is>
      </c>
      <c r="E59" s="69" t="inlineStr">
        <is>
          <t>Dispute resolution</t>
        </is>
      </c>
      <c r="F59" s="69" t="inlineStr">
        <is>
          <t>Dispute resolution: CH: Band 3</t>
        </is>
      </c>
      <c r="G59" s="69" t="n"/>
      <c r="H59" s="94" t="n">
        <v>12</v>
      </c>
      <c r="I59" s="94" t="inlineStr">
        <is>
          <t>Lower</t>
        </is>
      </c>
      <c r="J59" s="69" t="n"/>
      <c r="K59" s="69" t="inlineStr">
        <is>
          <t>Mid-career / next-generation: room to lead and build a practice</t>
        </is>
      </c>
    </row>
    <row r="60">
      <c r="A60" s="94" t="inlineStr">
        <is>
          <t>B</t>
        </is>
      </c>
      <c r="B60" s="94" t="n">
        <v>2</v>
      </c>
      <c r="C60" s="69" t="inlineStr">
        <is>
          <t>Pontus Scherp</t>
        </is>
      </c>
      <c r="D60" s="69" t="inlineStr">
        <is>
          <t>Norburg &amp; Scherp</t>
        </is>
      </c>
      <c r="E60" s="69" t="inlineStr">
        <is>
          <t>Dispute resolution</t>
        </is>
      </c>
      <c r="F60" s="69" t="inlineStr">
        <is>
          <t>Dispute resolution: CH: Band 3</t>
        </is>
      </c>
      <c r="G60" s="69" t="n"/>
      <c r="H60" s="94" t="n">
        <v>10</v>
      </c>
      <c r="I60" s="94" t="inlineStr">
        <is>
          <t>Lower</t>
        </is>
      </c>
      <c r="J60" s="69" t="n"/>
      <c r="K60" s="69" t="inlineStr">
        <is>
          <t>Mid-career / next-generation: room to lead and build a practice</t>
        </is>
      </c>
    </row>
    <row r="61">
      <c r="A61" s="94" t="inlineStr">
        <is>
          <t>B</t>
        </is>
      </c>
      <c r="B61" s="94" t="n">
        <v>2</v>
      </c>
      <c r="C61" s="69" t="inlineStr">
        <is>
          <t>Carl Brodén</t>
        </is>
      </c>
      <c r="D61" s="69" t="inlineStr">
        <is>
          <t>Roschier</t>
        </is>
      </c>
      <c r="E61" s="69" t="inlineStr">
        <is>
          <t>Banking &amp; finance</t>
        </is>
      </c>
      <c r="F61" s="69" t="inlineStr">
        <is>
          <t>Banking &amp; finance: L500: Next Generation Partners</t>
        </is>
      </c>
      <c r="G61" s="69" t="n"/>
      <c r="H61" s="94" t="n">
        <v>6</v>
      </c>
      <c r="I61" s="94" t="inlineStr">
        <is>
          <t>High</t>
        </is>
      </c>
      <c r="J61" s="69" t="inlineStr">
        <is>
          <t>3 partner exits 2020-26</t>
        </is>
      </c>
      <c r="K61" s="69" t="inlineStr">
        <is>
          <t>3 partner exits 2020-26; Mid-career / next-generation: room to lead and build a practice; Likely pay cut vs current profit share: needs equity / upside story</t>
        </is>
      </c>
    </row>
    <row r="62">
      <c r="A62" s="94" t="inlineStr">
        <is>
          <t>B</t>
        </is>
      </c>
      <c r="B62" s="94" t="n">
        <v>2</v>
      </c>
      <c r="C62" s="69" t="inlineStr">
        <is>
          <t>Carl Persson</t>
        </is>
      </c>
      <c r="D62" s="69" t="inlineStr">
        <is>
          <t>Roschier</t>
        </is>
      </c>
      <c r="E62" s="69" t="inlineStr">
        <is>
          <t>Dispute resolution</t>
        </is>
      </c>
      <c r="F62" s="69" t="inlineStr">
        <is>
          <t>Dispute resolution: L500: Next Generation Partners, CH: Band 4</t>
        </is>
      </c>
      <c r="G62" s="69" t="n"/>
      <c r="H62" s="94" t="n">
        <v>4</v>
      </c>
      <c r="I62" s="94" t="inlineStr">
        <is>
          <t>High</t>
        </is>
      </c>
      <c r="J62" s="69" t="inlineStr">
        <is>
          <t>3 partner exits 2020-26</t>
        </is>
      </c>
      <c r="K62" s="69" t="inlineStr">
        <is>
          <t>3 partner exits 2020-26; Mid-career / next-generation: room to lead and build a practice; Likely pay cut vs current profit share: needs equity / upside story</t>
        </is>
      </c>
    </row>
    <row r="63">
      <c r="A63" s="94" t="inlineStr">
        <is>
          <t>B</t>
        </is>
      </c>
      <c r="B63" s="94" t="n">
        <v>2</v>
      </c>
      <c r="C63" s="69" t="inlineStr">
        <is>
          <t>Leo Lee</t>
        </is>
      </c>
      <c r="D63" s="69" t="inlineStr">
        <is>
          <t>Roschier</t>
        </is>
      </c>
      <c r="E63" s="69" t="inlineStr">
        <is>
          <t>Corporate / M&amp;A</t>
        </is>
      </c>
      <c r="F63" s="69" t="inlineStr">
        <is>
          <t>Corporate / M&amp;A: CH: Up and Coming</t>
        </is>
      </c>
      <c r="G63" s="69" t="n"/>
      <c r="H63" s="94" t="n">
        <v>1</v>
      </c>
      <c r="I63" s="94" t="inlineStr">
        <is>
          <t>High</t>
        </is>
      </c>
      <c r="J63" s="69" t="inlineStr">
        <is>
          <t>3 partner exits 2020-26</t>
        </is>
      </c>
      <c r="K63" s="69" t="inlineStr">
        <is>
          <t>3 partner exits 2020-26; Mid-career / next-generation: room to lead and build a practice; Likely pay cut vs current profit share: needs equity / upside story</t>
        </is>
      </c>
    </row>
    <row r="64">
      <c r="A64" s="94" t="inlineStr">
        <is>
          <t>B</t>
        </is>
      </c>
      <c r="B64" s="94" t="n">
        <v>2</v>
      </c>
      <c r="C64" s="69" t="inlineStr">
        <is>
          <t>Niklas Eriksson</t>
        </is>
      </c>
      <c r="D64" s="69" t="inlineStr">
        <is>
          <t>Roschier</t>
        </is>
      </c>
      <c r="E64" s="69" t="inlineStr">
        <is>
          <t>Banking &amp; finance</t>
        </is>
      </c>
      <c r="F64" s="69" t="inlineStr">
        <is>
          <t>Banking &amp; finance: CH: Band 4</t>
        </is>
      </c>
      <c r="G64" s="69" t="inlineStr">
        <is>
          <t>Department head</t>
        </is>
      </c>
      <c r="H64" s="94" t="n">
        <v>3</v>
      </c>
      <c r="I64" s="94" t="inlineStr">
        <is>
          <t>High</t>
        </is>
      </c>
      <c r="J64" s="69" t="inlineStr">
        <is>
          <t>3 partner exits 2020-26</t>
        </is>
      </c>
      <c r="K64" s="69" t="inlineStr">
        <is>
          <t>3 partner exits 2020-26; Mid-career / next-generation: room to lead and build a practice; Likely pay cut vs current profit share: needs equity / upside story</t>
        </is>
      </c>
    </row>
    <row r="65">
      <c r="A65" s="94" t="inlineStr">
        <is>
          <t>B</t>
        </is>
      </c>
      <c r="B65" s="94" t="n">
        <v>2</v>
      </c>
      <c r="C65" s="69" t="inlineStr">
        <is>
          <t>Johannes Ericson</t>
        </is>
      </c>
      <c r="D65" s="69" t="inlineStr">
        <is>
          <t>Setterwalls</t>
        </is>
      </c>
      <c r="E65" s="69" t="inlineStr">
        <is>
          <t>Dispute resolution</t>
        </is>
      </c>
      <c r="F65" s="69" t="inlineStr">
        <is>
          <t>Dispute resolution: CH: Band 4</t>
        </is>
      </c>
      <c r="G65" s="69" t="n"/>
      <c r="H65" s="94" t="n">
        <v>13</v>
      </c>
      <c r="I65" s="94" t="inlineStr">
        <is>
          <t>High</t>
        </is>
      </c>
      <c r="J65" s="69" t="inlineStr">
        <is>
          <t>Malmö office (12 partners) left for AGRD, Sep-2026</t>
        </is>
      </c>
      <c r="K65" s="69" t="inlineStr">
        <is>
          <t>Firm under pressure: Malmö office (12 partners) left for AGRD, Sep-2026; Mid-career / next-generation: room to lead and build a practice; Likely pay cut vs current profit share: needs equity / upside story</t>
        </is>
      </c>
    </row>
    <row r="66">
      <c r="A66" s="94" t="inlineStr">
        <is>
          <t>B</t>
        </is>
      </c>
      <c r="B66" s="94" t="n">
        <v>2</v>
      </c>
      <c r="C66" s="69" t="inlineStr">
        <is>
          <t>Claes Kjellberg</t>
        </is>
      </c>
      <c r="D66" s="69" t="inlineStr">
        <is>
          <t>Snellman</t>
        </is>
      </c>
      <c r="E66" s="69" t="inlineStr">
        <is>
          <t>Corporate / M&amp;A</t>
        </is>
      </c>
      <c r="F66" s="69" t="inlineStr">
        <is>
          <t>Corporate / M&amp;A: L500: Leading partners, CH: Band 5</t>
        </is>
      </c>
      <c r="G66" s="69" t="inlineStr">
        <is>
          <t>Partner</t>
        </is>
      </c>
      <c r="H66" s="94" t="n">
        <v>8</v>
      </c>
      <c r="I66" s="94" t="inlineStr">
        <is>
          <t>Medium</t>
        </is>
      </c>
      <c r="J66" s="69" t="inlineStr">
        <is>
          <t>Separated from Hannes Snellman (2024); ~5 partner exits since 2024 incl. heads of competition and disputes</t>
        </is>
      </c>
      <c r="K66" s="69" t="inlineStr">
        <is>
          <t>Firm under pressure: Separated from Hannes Snellman (2024); ~5 partner exits since 2024 incl. heads of competition and disputes</t>
        </is>
      </c>
    </row>
    <row r="67">
      <c r="A67" s="94" t="inlineStr">
        <is>
          <t>B</t>
        </is>
      </c>
      <c r="B67" s="94" t="n">
        <v>2</v>
      </c>
      <c r="C67" s="69" t="inlineStr">
        <is>
          <t>Richard Åkerman</t>
        </is>
      </c>
      <c r="D67" s="69" t="inlineStr">
        <is>
          <t>Snellman</t>
        </is>
      </c>
      <c r="E67" s="69" t="inlineStr">
        <is>
          <t>Corporate / M&amp;A</t>
        </is>
      </c>
      <c r="F67" s="69" t="inlineStr">
        <is>
          <t>Corporate / M&amp;A: CH: Band 5</t>
        </is>
      </c>
      <c r="G67" s="69" t="n"/>
      <c r="H67" s="94" t="n">
        <v>20</v>
      </c>
      <c r="I67" s="94" t="inlineStr">
        <is>
          <t>Medium</t>
        </is>
      </c>
      <c r="J67" s="69" t="inlineStr">
        <is>
          <t>Separated from Hannes Snellman (2024); ~5 partner exits since 2024 incl. heads of competition and disputes</t>
        </is>
      </c>
      <c r="K67" s="69" t="inlineStr">
        <is>
          <t>Firm under pressure: Separated from Hannes Snellman (2024); ~5 partner exits since 2024 incl. heads of competition and disputes; Mid-career / next-generation: room to lead and build a practice</t>
        </is>
      </c>
    </row>
    <row r="68">
      <c r="A68" s="94" t="inlineStr">
        <is>
          <t>B</t>
        </is>
      </c>
      <c r="B68" s="94" t="n">
        <v>2</v>
      </c>
      <c r="C68" s="69" t="inlineStr">
        <is>
          <t>Tobhias Brandell</t>
        </is>
      </c>
      <c r="D68" s="69" t="inlineStr">
        <is>
          <t>TM &amp; Partners</t>
        </is>
      </c>
      <c r="E68" s="69" t="inlineStr">
        <is>
          <t>Banking &amp; finance</t>
        </is>
      </c>
      <c r="F68" s="69" t="inlineStr">
        <is>
          <t>Banking &amp; finance: CH: Band 3</t>
        </is>
      </c>
      <c r="G68" s="69" t="n"/>
      <c r="H68" s="94" t="n">
        <v>15</v>
      </c>
      <c r="I68" s="94" t="inlineStr">
        <is>
          <t>Lower</t>
        </is>
      </c>
      <c r="J68" s="69" t="inlineStr">
        <is>
          <t>AGRD (PE-owned) member: lawyers left the Bar; partners wishing to remain advokater may move</t>
        </is>
      </c>
      <c r="K68" s="69" t="inlineStr">
        <is>
          <t>AGRD (PE-owned) member: lawyers left the Bar; partners wishing to remain advokater may move; Mid-career / next-generation: room to lead and build a practice</t>
        </is>
      </c>
    </row>
    <row r="69">
      <c r="A69" s="94" t="inlineStr">
        <is>
          <t>B</t>
        </is>
      </c>
      <c r="B69" s="94" t="n">
        <v>2</v>
      </c>
      <c r="C69" s="69" t="inlineStr">
        <is>
          <t>Ginta Ahrel</t>
        </is>
      </c>
      <c r="D69" s="69" t="inlineStr">
        <is>
          <t>Westerberg &amp; Partners</t>
        </is>
      </c>
      <c r="E69" s="69" t="inlineStr">
        <is>
          <t>Dispute resolution</t>
        </is>
      </c>
      <c r="F69" s="69" t="inlineStr">
        <is>
          <t>Dispute resolution: L500: Leading partners, CH: Band 3</t>
        </is>
      </c>
      <c r="G69" s="69" t="n"/>
      <c r="H69" s="94" t="n">
        <v>6</v>
      </c>
      <c r="I69" s="94" t="inlineStr">
        <is>
          <t>Lower</t>
        </is>
      </c>
      <c r="J69" s="69" t="n"/>
      <c r="K69" s="69" t="n"/>
    </row>
    <row r="70">
      <c r="A70" s="94" t="inlineStr">
        <is>
          <t>B</t>
        </is>
      </c>
      <c r="B70" s="94" t="n">
        <v>1</v>
      </c>
      <c r="C70" s="69" t="inlineStr">
        <is>
          <t>Carl Svernlöv</t>
        </is>
      </c>
      <c r="D70" s="69" t="inlineStr">
        <is>
          <t>Baker McKenzie</t>
        </is>
      </c>
      <c r="E70" s="69" t="inlineStr">
        <is>
          <t>Corporate / M&amp;A</t>
        </is>
      </c>
      <c r="F70" s="69" t="inlineStr">
        <is>
          <t>Corporate / M&amp;A: L500: Hall of Fame</t>
        </is>
      </c>
      <c r="G70" s="69" t="n"/>
      <c r="H70" s="94" t="n"/>
      <c r="I70" s="94" t="inlineStr">
        <is>
          <t>Medium</t>
        </is>
      </c>
      <c r="J70" s="69" t="inlineStr">
        <is>
          <t>2 partner exits 2025-26; moving away from billable hour</t>
        </is>
      </c>
      <c r="K70" s="69" t="inlineStr">
        <is>
          <t>Firm under pressure: 2 partner exits 2025-26; moving away from billable hour; Senior market leader: hard to move; possible senior adviser / team anchor</t>
        </is>
      </c>
    </row>
    <row r="71">
      <c r="A71" s="94" t="inlineStr">
        <is>
          <t>B</t>
        </is>
      </c>
      <c r="B71" s="94" t="n">
        <v>1</v>
      </c>
      <c r="C71" s="69" t="inlineStr">
        <is>
          <t>Erik Wernberg</t>
        </is>
      </c>
      <c r="D71" s="69" t="inlineStr">
        <is>
          <t>Cederquist</t>
        </is>
      </c>
      <c r="E71" s="69" t="inlineStr">
        <is>
          <t>Dispute resolution</t>
        </is>
      </c>
      <c r="F71" s="69" t="inlineStr">
        <is>
          <t>Dispute resolution: L500: Leading partners, CH: Band 2</t>
        </is>
      </c>
      <c r="G71" s="69" t="inlineStr">
        <is>
          <t>Partner. Head of Dispute Resolution</t>
        </is>
      </c>
      <c r="H71" s="94" t="n">
        <v>15</v>
      </c>
      <c r="I71" s="94" t="inlineStr">
        <is>
          <t>Medium</t>
        </is>
      </c>
      <c r="J71" s="69" t="inlineStr">
        <is>
          <t>3 partner exits 2023-25 incl. ex-MP (RE:FI STHLM spin-out)</t>
        </is>
      </c>
      <c r="K71" s="69" t="inlineStr">
        <is>
          <t>Firm under pressure: 3 partner exits 2023-25 incl. ex-MP (RE:FI STHLM spin-out)</t>
        </is>
      </c>
    </row>
    <row r="72">
      <c r="A72" s="94" t="inlineStr">
        <is>
          <t>B</t>
        </is>
      </c>
      <c r="B72" s="94" t="n">
        <v>1</v>
      </c>
      <c r="C72" s="69" t="inlineStr">
        <is>
          <t>Fredrik Forssman</t>
        </is>
      </c>
      <c r="D72" s="69" t="inlineStr">
        <is>
          <t>Cederquist</t>
        </is>
      </c>
      <c r="E72" s="69" t="inlineStr">
        <is>
          <t>Dispute resolution</t>
        </is>
      </c>
      <c r="F72" s="69" t="inlineStr">
        <is>
          <t>Dispute resolution: CH: Band 2</t>
        </is>
      </c>
      <c r="G72" s="69" t="n"/>
      <c r="H72" s="94" t="n">
        <v>17</v>
      </c>
      <c r="I72" s="94" t="inlineStr">
        <is>
          <t>Medium</t>
        </is>
      </c>
      <c r="J72" s="69" t="inlineStr">
        <is>
          <t>3 partner exits 2023-25 incl. ex-MP (RE:FI STHLM spin-out)</t>
        </is>
      </c>
      <c r="K72" s="69" t="inlineStr">
        <is>
          <t>Firm under pressure: 3 partner exits 2023-25 incl. ex-MP (RE:FI STHLM spin-out)</t>
        </is>
      </c>
    </row>
    <row r="73">
      <c r="A73" s="94" t="inlineStr">
        <is>
          <t>B</t>
        </is>
      </c>
      <c r="B73" s="94" t="n">
        <v>1</v>
      </c>
      <c r="C73" s="69" t="inlineStr">
        <is>
          <t>Joséphine Tessmar</t>
        </is>
      </c>
      <c r="D73" s="69" t="inlineStr">
        <is>
          <t>DLA Piper</t>
        </is>
      </c>
      <c r="E73" s="69" t="inlineStr">
        <is>
          <t>Banking &amp; finance</t>
        </is>
      </c>
      <c r="F73" s="69" t="inlineStr">
        <is>
          <t>Banking &amp; finance: L500: Next Generation Partners</t>
        </is>
      </c>
      <c r="G73" s="69" t="n"/>
      <c r="H73" s="94" t="n"/>
      <c r="I73" s="94" t="inlineStr">
        <is>
          <t>Medium</t>
        </is>
      </c>
      <c r="J73" s="69" t="inlineStr">
        <is>
          <t>Revenue -9% FY24/25; net partner gainer</t>
        </is>
      </c>
      <c r="K73" s="69" t="inlineStr">
        <is>
          <t>Mid-career / next-generation: room to lead and build a practice</t>
        </is>
      </c>
    </row>
    <row r="74">
      <c r="A74" s="94" t="inlineStr">
        <is>
          <t>B</t>
        </is>
      </c>
      <c r="B74" s="94" t="n">
        <v>1</v>
      </c>
      <c r="C74" s="69" t="inlineStr">
        <is>
          <t>Mathias Berggren</t>
        </is>
      </c>
      <c r="D74" s="69" t="inlineStr">
        <is>
          <t>DLA Piper</t>
        </is>
      </c>
      <c r="E74" s="69" t="inlineStr">
        <is>
          <t>Corporate / M&amp;A</t>
        </is>
      </c>
      <c r="F74" s="69" t="inlineStr">
        <is>
          <t>Corporate / M&amp;A: CH: Band 4</t>
        </is>
      </c>
      <c r="G74" s="69" t="n"/>
      <c r="H74" s="94" t="n">
        <v>14</v>
      </c>
      <c r="I74" s="94" t="inlineStr">
        <is>
          <t>Medium</t>
        </is>
      </c>
      <c r="J74" s="69" t="inlineStr">
        <is>
          <t>Revenue -9% FY24/25; net partner gainer</t>
        </is>
      </c>
      <c r="K74" s="69" t="inlineStr">
        <is>
          <t>Mid-career / next-generation: room to lead and build a practice</t>
        </is>
      </c>
    </row>
    <row r="75">
      <c r="A75" s="94" t="inlineStr">
        <is>
          <t>B</t>
        </is>
      </c>
      <c r="B75" s="94" t="n">
        <v>1</v>
      </c>
      <c r="C75" s="69" t="inlineStr">
        <is>
          <t>Mikael Bolling</t>
        </is>
      </c>
      <c r="D75" s="69" t="inlineStr">
        <is>
          <t>Gernandt &amp; Danielsson</t>
        </is>
      </c>
      <c r="E75" s="69" t="inlineStr">
        <is>
          <t>Banking &amp; finance</t>
        </is>
      </c>
      <c r="F75" s="69" t="inlineStr">
        <is>
          <t>Banking &amp; finance: CH: Band 3</t>
        </is>
      </c>
      <c r="G75" s="69" t="n"/>
      <c r="H75" s="94" t="n">
        <v>4</v>
      </c>
      <c r="I75" s="94" t="inlineStr">
        <is>
          <t>High</t>
        </is>
      </c>
      <c r="J75" s="69" t="inlineStr">
        <is>
          <t>Net partner gainer (team lifts 2024-26)</t>
        </is>
      </c>
      <c r="K75" s="69" t="inlineStr">
        <is>
          <t>Mid-career / next-generation: room to lead and build a practice; Likely pay cut vs current profit share: needs equity / upside story</t>
        </is>
      </c>
    </row>
    <row r="76">
      <c r="A76" s="94" t="inlineStr">
        <is>
          <t>B</t>
        </is>
      </c>
      <c r="B76" s="94" t="n">
        <v>1</v>
      </c>
      <c r="C76" s="69" t="inlineStr">
        <is>
          <t>Oscar Anderson</t>
        </is>
      </c>
      <c r="D76" s="69" t="inlineStr">
        <is>
          <t>Gernandt &amp; Danielsson</t>
        </is>
      </c>
      <c r="E76" s="69" t="inlineStr">
        <is>
          <t>Corporate / M&amp;A</t>
        </is>
      </c>
      <c r="F76" s="69" t="inlineStr">
        <is>
          <t>Corporate / M&amp;A: CH: Up and Coming</t>
        </is>
      </c>
      <c r="G76" s="69" t="n"/>
      <c r="H76" s="94" t="n">
        <v>2</v>
      </c>
      <c r="I76" s="94" t="inlineStr">
        <is>
          <t>High</t>
        </is>
      </c>
      <c r="J76" s="69" t="inlineStr">
        <is>
          <t>Net partner gainer (team lifts 2024-26)</t>
        </is>
      </c>
      <c r="K76" s="69" t="inlineStr">
        <is>
          <t>Mid-career / next-generation: room to lead and build a practice; Likely pay cut vs current profit share: needs equity / upside story</t>
        </is>
      </c>
    </row>
    <row r="77">
      <c r="A77" s="94" t="inlineStr">
        <is>
          <t>B</t>
        </is>
      </c>
      <c r="B77" s="94" t="n">
        <v>1</v>
      </c>
      <c r="C77" s="69" t="inlineStr">
        <is>
          <t>Pär Johansson</t>
        </is>
      </c>
      <c r="D77" s="69" t="inlineStr">
        <is>
          <t>Gernandt &amp; Danielsson</t>
        </is>
      </c>
      <c r="E77" s="69" t="inlineStr">
        <is>
          <t>Corporate / M&amp;A</t>
        </is>
      </c>
      <c r="F77" s="69" t="inlineStr">
        <is>
          <t>Corporate / M&amp;A: CH: Band 5</t>
        </is>
      </c>
      <c r="G77" s="69" t="n"/>
      <c r="H77" s="94" t="n">
        <v>2</v>
      </c>
      <c r="I77" s="94" t="inlineStr">
        <is>
          <t>High</t>
        </is>
      </c>
      <c r="J77" s="69" t="inlineStr">
        <is>
          <t>Net partner gainer (team lifts 2024-26)</t>
        </is>
      </c>
      <c r="K77" s="69" t="inlineStr">
        <is>
          <t>Mid-career / next-generation: room to lead and build a practice; Likely pay cut vs current profit share: needs equity / upside story</t>
        </is>
      </c>
    </row>
    <row r="78">
      <c r="A78" s="94" t="inlineStr">
        <is>
          <t>B</t>
        </is>
      </c>
      <c r="B78" s="94" t="n">
        <v>1</v>
      </c>
      <c r="C78" s="69" t="inlineStr">
        <is>
          <t>Björn Wendleby</t>
        </is>
      </c>
      <c r="D78" s="69" t="inlineStr">
        <is>
          <t>Harvest</t>
        </is>
      </c>
      <c r="E78" s="69" t="inlineStr">
        <is>
          <t>Banking &amp; finance</t>
        </is>
      </c>
      <c r="F78" s="69" t="inlineStr">
        <is>
          <t>Banking &amp; finance: L500: Leading partners</t>
        </is>
      </c>
      <c r="G78" s="69" t="n"/>
      <c r="H78" s="94" t="n">
        <v>13</v>
      </c>
      <c r="I78" s="94" t="inlineStr">
        <is>
          <t>Lower</t>
        </is>
      </c>
      <c r="J78" s="69" t="n"/>
      <c r="K78" s="69" t="n"/>
    </row>
    <row r="79">
      <c r="A79" s="94" t="inlineStr">
        <is>
          <t>B</t>
        </is>
      </c>
      <c r="B79" s="94" t="n">
        <v>1</v>
      </c>
      <c r="C79" s="69" t="inlineStr">
        <is>
          <t>Henrik Bielenstein</t>
        </is>
      </c>
      <c r="D79" s="69" t="inlineStr">
        <is>
          <t>Kastell</t>
        </is>
      </c>
      <c r="E79" s="69" t="inlineStr">
        <is>
          <t>Dispute resolution</t>
        </is>
      </c>
      <c r="F79" s="69" t="inlineStr">
        <is>
          <t>Dispute resolution: CH: Band 3</t>
        </is>
      </c>
      <c r="G79" s="69" t="n"/>
      <c r="H79" s="94" t="n">
        <v>20</v>
      </c>
      <c r="I79" s="94" t="inlineStr">
        <is>
          <t>Lower</t>
        </is>
      </c>
      <c r="J79" s="69" t="n"/>
      <c r="K79" s="69" t="inlineStr">
        <is>
          <t>Mid-career / next-generation: room to lead and build a practice</t>
        </is>
      </c>
    </row>
    <row r="80">
      <c r="A80" s="94" t="inlineStr">
        <is>
          <t>B</t>
        </is>
      </c>
      <c r="B80" s="94" t="n">
        <v>1</v>
      </c>
      <c r="C80" s="69" t="inlineStr">
        <is>
          <t>Elisabet Lundgren</t>
        </is>
      </c>
      <c r="D80" s="69" t="inlineStr">
        <is>
          <t>Linklaters</t>
        </is>
      </c>
      <c r="E80" s="69" t="inlineStr">
        <is>
          <t>Corporate / M&amp;A</t>
        </is>
      </c>
      <c r="F80" s="69" t="inlineStr">
        <is>
          <t>Corporate / M&amp;A: CH: Band 3</t>
        </is>
      </c>
      <c r="G80" s="69" t="n"/>
      <c r="H80" s="94" t="n">
        <v>20</v>
      </c>
      <c r="I80" s="94" t="inlineStr">
        <is>
          <t>High</t>
        </is>
      </c>
      <c r="J80" s="69" t="inlineStr">
        <is>
          <t>No new partners for 3 years; Stockholm staff down from 88 to 75</t>
        </is>
      </c>
      <c r="K80" s="69" t="inlineStr">
        <is>
          <t>Firm under pressure: No new partners for 3 years; Stockholm staff down from 88 to 75; Mid-career / next-generation: room to lead and build a practice; Likely pay cut vs current profit share: needs equity / upside story</t>
        </is>
      </c>
    </row>
    <row r="81">
      <c r="A81" s="94" t="inlineStr">
        <is>
          <t>B</t>
        </is>
      </c>
      <c r="B81" s="94" t="n">
        <v>1</v>
      </c>
      <c r="C81" s="69" t="inlineStr">
        <is>
          <t>Anders Bäckman</t>
        </is>
      </c>
      <c r="D81" s="69" t="inlineStr">
        <is>
          <t>Magnusson</t>
        </is>
      </c>
      <c r="E81" s="69" t="inlineStr">
        <is>
          <t>Corporate / M&amp;A</t>
        </is>
      </c>
      <c r="F81" s="69" t="inlineStr">
        <is>
          <t>Corporate / M&amp;A: CH: Band 5</t>
        </is>
      </c>
      <c r="G81" s="69" t="n"/>
      <c r="H81" s="94" t="n">
        <v>19</v>
      </c>
      <c r="I81" s="94" t="inlineStr">
        <is>
          <t>Lower</t>
        </is>
      </c>
      <c r="J81" s="69" t="inlineStr">
        <is>
          <t>Merged with Gro (Oct-2026)</t>
        </is>
      </c>
      <c r="K81" s="69" t="inlineStr">
        <is>
          <t>Mid-career / next-generation: room to lead and build a practice</t>
        </is>
      </c>
    </row>
    <row r="82">
      <c r="A82" s="94" t="inlineStr">
        <is>
          <t>B</t>
        </is>
      </c>
      <c r="B82" s="94" t="n">
        <v>1</v>
      </c>
      <c r="C82" s="69" t="inlineStr">
        <is>
          <t>Anders Ingvarson</t>
        </is>
      </c>
      <c r="D82" s="69" t="inlineStr">
        <is>
          <t>Mannheimer Swartling</t>
        </is>
      </c>
      <c r="E82" s="69" t="inlineStr">
        <is>
          <t>Dispute resolution</t>
        </is>
      </c>
      <c r="F82" s="69" t="inlineStr">
        <is>
          <t>Dispute resolution: CH: Band 4</t>
        </is>
      </c>
      <c r="G82" s="69" t="n"/>
      <c r="H82" s="94" t="n">
        <v>1</v>
      </c>
      <c r="I82" s="94" t="inlineStr">
        <is>
          <t>High</t>
        </is>
      </c>
      <c r="J82" s="69" t="inlineStr">
        <is>
          <t>Lockstep: profit pool ~SEK 8.7m/partner; 2 partner exits since 2024</t>
        </is>
      </c>
      <c r="K82" s="69" t="inlineStr">
        <is>
          <t>Mid-career / next-generation: room to lead and build a practice; Likely pay cut vs current profit share: needs equity / upside story</t>
        </is>
      </c>
    </row>
    <row r="83">
      <c r="A83" s="94" t="inlineStr">
        <is>
          <t>B</t>
        </is>
      </c>
      <c r="B83" s="94" t="n">
        <v>1</v>
      </c>
      <c r="C83" s="69" t="inlineStr">
        <is>
          <t>Daniel Khayyami</t>
        </is>
      </c>
      <c r="D83" s="69" t="inlineStr">
        <is>
          <t>Mannheimer Swartling</t>
        </is>
      </c>
      <c r="E83" s="69" t="inlineStr">
        <is>
          <t>Banking &amp; finance</t>
        </is>
      </c>
      <c r="F83" s="69" t="inlineStr">
        <is>
          <t>Banking &amp; finance: L500: Next Generation Partners, CH: Band 3</t>
        </is>
      </c>
      <c r="G83" s="69" t="n"/>
      <c r="H83" s="94" t="n">
        <v>4</v>
      </c>
      <c r="I83" s="94" t="inlineStr">
        <is>
          <t>High</t>
        </is>
      </c>
      <c r="J83" s="69" t="inlineStr">
        <is>
          <t>Lockstep: profit pool ~SEK 8.7m/partner; 2 partner exits since 2024</t>
        </is>
      </c>
      <c r="K83" s="69" t="inlineStr">
        <is>
          <t>Mid-career / next-generation: room to lead and build a practice; Likely pay cut vs current profit share: needs equity / upside story</t>
        </is>
      </c>
    </row>
    <row r="84">
      <c r="A84" s="94" t="inlineStr">
        <is>
          <t>B</t>
        </is>
      </c>
      <c r="B84" s="94" t="n">
        <v>1</v>
      </c>
      <c r="C84" s="69" t="inlineStr">
        <is>
          <t>Gustav Glimblad</t>
        </is>
      </c>
      <c r="D84" s="69" t="inlineStr">
        <is>
          <t>Mannheimer Swartling</t>
        </is>
      </c>
      <c r="E84" s="69" t="inlineStr">
        <is>
          <t>Banking &amp; finance</t>
        </is>
      </c>
      <c r="F84" s="69" t="inlineStr">
        <is>
          <t>Banking &amp; finance: CH: Up and Coming</t>
        </is>
      </c>
      <c r="G84" s="69" t="n"/>
      <c r="H84" s="94" t="n">
        <v>2</v>
      </c>
      <c r="I84" s="94" t="inlineStr">
        <is>
          <t>High</t>
        </is>
      </c>
      <c r="J84" s="69" t="inlineStr">
        <is>
          <t>Lockstep: profit pool ~SEK 8.7m/partner; 2 partner exits since 2024</t>
        </is>
      </c>
      <c r="K84" s="69" t="inlineStr">
        <is>
          <t>Mid-career / next-generation: room to lead and build a practice; Likely pay cut vs current profit share: needs equity / upside story</t>
        </is>
      </c>
    </row>
    <row r="85">
      <c r="A85" s="94" t="inlineStr">
        <is>
          <t>B</t>
        </is>
      </c>
      <c r="B85" s="94" t="n">
        <v>1</v>
      </c>
      <c r="C85" s="69" t="inlineStr">
        <is>
          <t>Henrik Dock</t>
        </is>
      </c>
      <c r="D85" s="69" t="inlineStr">
        <is>
          <t>Mannheimer Swartling</t>
        </is>
      </c>
      <c r="E85" s="69" t="inlineStr">
        <is>
          <t>Corporate / M&amp;A</t>
        </is>
      </c>
      <c r="F85" s="69" t="inlineStr">
        <is>
          <t>Corporate / M&amp;A: CH: Up and Coming</t>
        </is>
      </c>
      <c r="G85" s="69" t="n"/>
      <c r="H85" s="94" t="n">
        <v>2</v>
      </c>
      <c r="I85" s="94" t="inlineStr">
        <is>
          <t>High</t>
        </is>
      </c>
      <c r="J85" s="69" t="inlineStr">
        <is>
          <t>Lockstep: profit pool ~SEK 8.7m/partner; 2 partner exits since 2024</t>
        </is>
      </c>
      <c r="K85" s="69" t="inlineStr">
        <is>
          <t>Mid-career / next-generation: room to lead and build a practice; Likely pay cut vs current profit share: needs equity / upside story</t>
        </is>
      </c>
    </row>
    <row r="86">
      <c r="A86" s="94" t="inlineStr">
        <is>
          <t>B</t>
        </is>
      </c>
      <c r="B86" s="94" t="n">
        <v>1</v>
      </c>
      <c r="C86" s="69" t="inlineStr">
        <is>
          <t>Jon Rastad</t>
        </is>
      </c>
      <c r="D86" s="69" t="inlineStr">
        <is>
          <t>Mannheimer Swartling</t>
        </is>
      </c>
      <c r="E86" s="69" t="inlineStr">
        <is>
          <t>Corporate / M&amp;A; Private equity</t>
        </is>
      </c>
      <c r="F86" s="69" t="inlineStr">
        <is>
          <t>Corporate / M&amp;A: L500: Next Generation Partners, CH: Up and Coming | Private equity: CH: Up and Coming</t>
        </is>
      </c>
      <c r="G86" s="69" t="n"/>
      <c r="H86" s="94" t="n">
        <v>1</v>
      </c>
      <c r="I86" s="94" t="inlineStr">
        <is>
          <t>High</t>
        </is>
      </c>
      <c r="J86" s="69" t="inlineStr">
        <is>
          <t>Lockstep: profit pool ~SEK 8.7m/partner; 2 partner exits since 2024</t>
        </is>
      </c>
      <c r="K86" s="69" t="inlineStr">
        <is>
          <t>Mid-career / next-generation: room to lead and build a practice; Likely pay cut vs current profit share: needs equity / upside story; Ranked in Corporate / M&amp;A &amp; Private equity</t>
        </is>
      </c>
    </row>
    <row r="87">
      <c r="A87" s="94" t="inlineStr">
        <is>
          <t>B</t>
        </is>
      </c>
      <c r="B87" s="94" t="n">
        <v>1</v>
      </c>
      <c r="C87" s="69" t="inlineStr">
        <is>
          <t>Robin Rylander</t>
        </is>
      </c>
      <c r="D87" s="69" t="inlineStr">
        <is>
          <t>Mannheimer Swartling</t>
        </is>
      </c>
      <c r="E87" s="69" t="inlineStr">
        <is>
          <t>Dispute resolution</t>
        </is>
      </c>
      <c r="F87" s="69" t="inlineStr">
        <is>
          <t>Dispute resolution: CH: Band 4</t>
        </is>
      </c>
      <c r="G87" s="69" t="n"/>
      <c r="H87" s="94" t="n">
        <v>1</v>
      </c>
      <c r="I87" s="94" t="inlineStr">
        <is>
          <t>High</t>
        </is>
      </c>
      <c r="J87" s="69" t="inlineStr">
        <is>
          <t>Lockstep: profit pool ~SEK 8.7m/partner; 2 partner exits since 2024</t>
        </is>
      </c>
      <c r="K87" s="69" t="inlineStr">
        <is>
          <t>Mid-career / next-generation: room to lead and build a practice; Likely pay cut vs current profit share: needs equity / upside story</t>
        </is>
      </c>
    </row>
    <row r="88">
      <c r="A88" s="94" t="inlineStr">
        <is>
          <t>B</t>
        </is>
      </c>
      <c r="B88" s="94" t="n">
        <v>1</v>
      </c>
      <c r="C88" s="69" t="inlineStr">
        <is>
          <t>Björn Winström</t>
        </is>
      </c>
      <c r="D88" s="69" t="inlineStr">
        <is>
          <t>Roschier</t>
        </is>
      </c>
      <c r="E88" s="69" t="inlineStr">
        <is>
          <t>Corporate / M&amp;A</t>
        </is>
      </c>
      <c r="F88" s="69" t="inlineStr">
        <is>
          <t>Corporate / M&amp;A: CH: Band 3</t>
        </is>
      </c>
      <c r="G88" s="69" t="inlineStr">
        <is>
          <t>Department head</t>
        </is>
      </c>
      <c r="H88" s="94" t="n">
        <v>13</v>
      </c>
      <c r="I88" s="94" t="inlineStr">
        <is>
          <t>High</t>
        </is>
      </c>
      <c r="J88" s="69" t="inlineStr">
        <is>
          <t>3 partner exits 2020-26</t>
        </is>
      </c>
      <c r="K88" s="69" t="inlineStr">
        <is>
          <t>3 partner exits 2020-26; Mid-career / next-generation: room to lead and build a practice; Likely pay cut vs current profit share: needs equity / upside story</t>
        </is>
      </c>
    </row>
    <row r="89">
      <c r="A89" s="94" t="inlineStr">
        <is>
          <t>B</t>
        </is>
      </c>
      <c r="B89" s="94" t="n">
        <v>1</v>
      </c>
      <c r="C89" s="69" t="inlineStr">
        <is>
          <t>Shirin Saif</t>
        </is>
      </c>
      <c r="D89" s="69" t="inlineStr">
        <is>
          <t>Roschier</t>
        </is>
      </c>
      <c r="E89" s="69" t="inlineStr">
        <is>
          <t>Dispute resolution</t>
        </is>
      </c>
      <c r="F89" s="69" t="inlineStr">
        <is>
          <t>Dispute resolution: L500: Leading partners, CH: Band 4</t>
        </is>
      </c>
      <c r="G89" s="69" t="n"/>
      <c r="H89" s="94" t="n">
        <v>4</v>
      </c>
      <c r="I89" s="94" t="inlineStr">
        <is>
          <t>High</t>
        </is>
      </c>
      <c r="J89" s="69" t="inlineStr">
        <is>
          <t>3 partner exits 2020-26</t>
        </is>
      </c>
      <c r="K89" s="69" t="inlineStr">
        <is>
          <t>3 partner exits 2020-26; Likely pay cut vs current profit share: needs equity / upside story</t>
        </is>
      </c>
    </row>
    <row r="90">
      <c r="A90" s="94" t="inlineStr">
        <is>
          <t>B</t>
        </is>
      </c>
      <c r="B90" s="94" t="n">
        <v>1</v>
      </c>
      <c r="C90" s="69" t="inlineStr">
        <is>
          <t>Veronica Stiller</t>
        </is>
      </c>
      <c r="D90" s="69" t="inlineStr">
        <is>
          <t>Roschier</t>
        </is>
      </c>
      <c r="E90" s="69" t="inlineStr">
        <is>
          <t>Banking &amp; finance</t>
        </is>
      </c>
      <c r="F90" s="69" t="inlineStr">
        <is>
          <t>Banking &amp; finance: L500: Leading partners, CH: Band 3</t>
        </is>
      </c>
      <c r="G90" s="69" t="n"/>
      <c r="H90" s="94" t="n">
        <v>4</v>
      </c>
      <c r="I90" s="94" t="inlineStr">
        <is>
          <t>High</t>
        </is>
      </c>
      <c r="J90" s="69" t="inlineStr">
        <is>
          <t>3 partner exits 2020-26</t>
        </is>
      </c>
      <c r="K90" s="69" t="inlineStr">
        <is>
          <t>3 partner exits 2020-26; Likely pay cut vs current profit share: needs equity / upside story</t>
        </is>
      </c>
    </row>
    <row r="91">
      <c r="A91" s="94" t="inlineStr">
        <is>
          <t>B</t>
        </is>
      </c>
      <c r="B91" s="94" t="n">
        <v>1</v>
      </c>
      <c r="C91" s="69" t="inlineStr">
        <is>
          <t>Carl Lindencrona</t>
        </is>
      </c>
      <c r="D91" s="69" t="inlineStr">
        <is>
          <t>Setterwalls</t>
        </is>
      </c>
      <c r="E91" s="69" t="inlineStr">
        <is>
          <t>Banking &amp; finance</t>
        </is>
      </c>
      <c r="F91" s="69" t="inlineStr">
        <is>
          <t>Banking &amp; finance: L500: Leading partners, CH: Band 2</t>
        </is>
      </c>
      <c r="G91" s="69" t="inlineStr">
        <is>
          <t>Partner. Banking and finance, Restructuring and insolvency</t>
        </is>
      </c>
      <c r="H91" s="94" t="n">
        <v>8</v>
      </c>
      <c r="I91" s="94" t="inlineStr">
        <is>
          <t>High</t>
        </is>
      </c>
      <c r="J91" s="69" t="inlineStr">
        <is>
          <t>Malmö office (12 partners) left for AGRD, Sep-2026</t>
        </is>
      </c>
      <c r="K91" s="69" t="inlineStr">
        <is>
          <t>Firm under pressure: Malmö office (12 partners) left for AGRD, Sep-2026; Likely pay cut vs current profit share: needs equity / upside story</t>
        </is>
      </c>
    </row>
    <row r="92">
      <c r="A92" s="94" t="inlineStr">
        <is>
          <t>B</t>
        </is>
      </c>
      <c r="B92" s="94" t="n">
        <v>1</v>
      </c>
      <c r="C92" s="69" t="inlineStr">
        <is>
          <t>Johan Strömbäck</t>
        </is>
      </c>
      <c r="D92" s="69" t="inlineStr">
        <is>
          <t>Setterwalls</t>
        </is>
      </c>
      <c r="E92" s="69" t="inlineStr">
        <is>
          <t>Dispute resolution</t>
        </is>
      </c>
      <c r="F92" s="69" t="inlineStr">
        <is>
          <t>Dispute resolution: L500: Leading partners, CH: Band 3</t>
        </is>
      </c>
      <c r="G92" s="69" t="inlineStr">
        <is>
          <t>Partner. Dispute Resolution, Corporate law</t>
        </is>
      </c>
      <c r="H92" s="94" t="n">
        <v>12</v>
      </c>
      <c r="I92" s="94" t="inlineStr">
        <is>
          <t>High</t>
        </is>
      </c>
      <c r="J92" s="69" t="inlineStr">
        <is>
          <t>Malmö office (12 partners) left for AGRD, Sep-2026</t>
        </is>
      </c>
      <c r="K92" s="69" t="inlineStr">
        <is>
          <t>Firm under pressure: Malmö office (12 partners) left for AGRD, Sep-2026; Likely pay cut vs current profit share: needs equity / upside story</t>
        </is>
      </c>
    </row>
    <row r="93">
      <c r="A93" s="94" t="inlineStr">
        <is>
          <t>B</t>
        </is>
      </c>
      <c r="B93" s="94" t="n">
        <v>1</v>
      </c>
      <c r="C93" s="69" t="inlineStr">
        <is>
          <t>Mattias Detterfelt</t>
        </is>
      </c>
      <c r="D93" s="69" t="inlineStr">
        <is>
          <t>Setterwalls</t>
        </is>
      </c>
      <c r="E93" s="69" t="inlineStr">
        <is>
          <t>Corporate / M&amp;A; Private equity</t>
        </is>
      </c>
      <c r="F93" s="69" t="inlineStr">
        <is>
          <t>Corporate / M&amp;A: L500: Leading partners, CH: Band 4 | Private equity: CH: Band 2</t>
        </is>
      </c>
      <c r="G93" s="69" t="inlineStr">
        <is>
          <t>Partner. Equity Capital Markets, Mergers &amp; Acquisitions, M&amp;A</t>
        </is>
      </c>
      <c r="H93" s="94" t="n">
        <v>13</v>
      </c>
      <c r="I93" s="94" t="inlineStr">
        <is>
          <t>High</t>
        </is>
      </c>
      <c r="J93" s="69" t="inlineStr">
        <is>
          <t>Malmö office (12 partners) left for AGRD, Sep-2026</t>
        </is>
      </c>
      <c r="K93" s="69" t="inlineStr">
        <is>
          <t>Firm under pressure: Malmö office (12 partners) left for AGRD, Sep-2026; Likely pay cut vs current profit share: needs equity / upside story; Ranked in Corporate / M&amp;A &amp; Private equity</t>
        </is>
      </c>
    </row>
    <row r="94">
      <c r="A94" s="94" t="inlineStr">
        <is>
          <t>B</t>
        </is>
      </c>
      <c r="B94" s="94" t="n">
        <v>1</v>
      </c>
      <c r="C94" s="69" t="inlineStr">
        <is>
          <t>Mikael Magnusson</t>
        </is>
      </c>
      <c r="D94" s="69" t="inlineStr">
        <is>
          <t>Setterwalls</t>
        </is>
      </c>
      <c r="E94" s="69" t="inlineStr">
        <is>
          <t>Banking &amp; finance</t>
        </is>
      </c>
      <c r="F94" s="69" t="inlineStr">
        <is>
          <t>Banking &amp; finance: L500: Leading partners, CH: Band 2</t>
        </is>
      </c>
      <c r="G94" s="69" t="inlineStr">
        <is>
          <t>Partner. Banking and finance, Restructuring and insolvency</t>
        </is>
      </c>
      <c r="H94" s="94" t="n">
        <v>8</v>
      </c>
      <c r="I94" s="94" t="inlineStr">
        <is>
          <t>High</t>
        </is>
      </c>
      <c r="J94" s="69" t="inlineStr">
        <is>
          <t>Malmö office (12 partners) left for AGRD, Sep-2026</t>
        </is>
      </c>
      <c r="K94" s="69" t="inlineStr">
        <is>
          <t>Firm under pressure: Malmö office (12 partners) left for AGRD, Sep-2026; Likely pay cut vs current profit share: needs equity / upside story</t>
        </is>
      </c>
    </row>
    <row r="95">
      <c r="A95" s="94" t="inlineStr">
        <is>
          <t>B</t>
        </is>
      </c>
      <c r="B95" s="94" t="n">
        <v>1</v>
      </c>
      <c r="C95" s="69" t="inlineStr">
        <is>
          <t>Cecilia Möller Norsted</t>
        </is>
      </c>
      <c r="D95" s="69" t="inlineStr">
        <is>
          <t>Vinge</t>
        </is>
      </c>
      <c r="E95" s="69" t="inlineStr">
        <is>
          <t>Dispute resolution</t>
        </is>
      </c>
      <c r="F95" s="69" t="inlineStr">
        <is>
          <t>Dispute resolution: CH: Band 4</t>
        </is>
      </c>
      <c r="G95" s="69" t="n"/>
      <c r="H95" s="94" t="n">
        <v>1</v>
      </c>
      <c r="I95" s="94" t="inlineStr">
        <is>
          <t>High</t>
        </is>
      </c>
      <c r="J95" s="69" t="inlineStr">
        <is>
          <t>Profit pool ~SEK 7m/partner; individual-contribution model</t>
        </is>
      </c>
      <c r="K95" s="69" t="inlineStr">
        <is>
          <t>Mid-career / next-generation: room to lead and build a practice; Likely pay cut vs current profit share: needs equity / upside story</t>
        </is>
      </c>
    </row>
    <row r="96">
      <c r="A96" s="94" t="inlineStr">
        <is>
          <t>B</t>
        </is>
      </c>
      <c r="B96" s="94" t="n">
        <v>1</v>
      </c>
      <c r="C96" s="69" t="inlineStr">
        <is>
          <t>Fredrik Lundblom</t>
        </is>
      </c>
      <c r="D96" s="69" t="inlineStr">
        <is>
          <t>Vinge</t>
        </is>
      </c>
      <c r="E96" s="69" t="inlineStr">
        <is>
          <t>Dispute resolution</t>
        </is>
      </c>
      <c r="F96" s="69" t="inlineStr">
        <is>
          <t>Dispute resolution: CH: Band 4</t>
        </is>
      </c>
      <c r="G96" s="69" t="n"/>
      <c r="H96" s="94" t="n">
        <v>6</v>
      </c>
      <c r="I96" s="94" t="inlineStr">
        <is>
          <t>High</t>
        </is>
      </c>
      <c r="J96" s="69" t="inlineStr">
        <is>
          <t>Profit pool ~SEK 7m/partner; individual-contribution model</t>
        </is>
      </c>
      <c r="K96" s="69" t="inlineStr">
        <is>
          <t>Mid-career / next-generation: room to lead and build a practice; Likely pay cut vs current profit share: needs equity / upside story</t>
        </is>
      </c>
    </row>
    <row r="97">
      <c r="A97" s="94" t="inlineStr">
        <is>
          <t>B</t>
        </is>
      </c>
      <c r="B97" s="94" t="n">
        <v>1</v>
      </c>
      <c r="C97" s="69" t="inlineStr">
        <is>
          <t>Helena Göransson</t>
        </is>
      </c>
      <c r="D97" s="69" t="inlineStr">
        <is>
          <t>Vinge</t>
        </is>
      </c>
      <c r="E97" s="69" t="inlineStr">
        <is>
          <t>Banking &amp; finance</t>
        </is>
      </c>
      <c r="F97" s="69" t="inlineStr">
        <is>
          <t>Banking &amp; finance: CH: Up and Coming</t>
        </is>
      </c>
      <c r="G97" s="69" t="n"/>
      <c r="H97" s="94" t="n">
        <v>1</v>
      </c>
      <c r="I97" s="94" t="inlineStr">
        <is>
          <t>High</t>
        </is>
      </c>
      <c r="J97" s="69" t="inlineStr">
        <is>
          <t>Profit pool ~SEK 7m/partner; individual-contribution model</t>
        </is>
      </c>
      <c r="K97" s="69" t="inlineStr">
        <is>
          <t>Mid-career / next-generation: room to lead and build a practice; Likely pay cut vs current profit share: needs equity / upside story</t>
        </is>
      </c>
    </row>
    <row r="98">
      <c r="A98" s="94" t="inlineStr">
        <is>
          <t>B</t>
        </is>
      </c>
      <c r="B98" s="94" t="n">
        <v>1</v>
      </c>
      <c r="C98" s="69" t="inlineStr">
        <is>
          <t>Jerker Kjellander</t>
        </is>
      </c>
      <c r="D98" s="69" t="inlineStr">
        <is>
          <t>Vinge</t>
        </is>
      </c>
      <c r="E98" s="69" t="inlineStr">
        <is>
          <t>Dispute resolution</t>
        </is>
      </c>
      <c r="F98" s="69" t="inlineStr">
        <is>
          <t>Dispute resolution: CH: Band 4</t>
        </is>
      </c>
      <c r="G98" s="69" t="n"/>
      <c r="H98" s="94" t="n">
        <v>1</v>
      </c>
      <c r="I98" s="94" t="inlineStr">
        <is>
          <t>High</t>
        </is>
      </c>
      <c r="J98" s="69" t="inlineStr">
        <is>
          <t>Profit pool ~SEK 7m/partner; individual-contribution model</t>
        </is>
      </c>
      <c r="K98" s="69" t="inlineStr">
        <is>
          <t>Mid-career / next-generation: room to lead and build a practice; Likely pay cut vs current profit share: needs equity / upside story</t>
        </is>
      </c>
    </row>
    <row r="99">
      <c r="A99" s="94" t="inlineStr">
        <is>
          <t>B</t>
        </is>
      </c>
      <c r="B99" s="94" t="n">
        <v>1</v>
      </c>
      <c r="C99" s="69" t="inlineStr">
        <is>
          <t>Johanna Wiberg</t>
        </is>
      </c>
      <c r="D99" s="69" t="inlineStr">
        <is>
          <t>Vinge</t>
        </is>
      </c>
      <c r="E99" s="69" t="inlineStr">
        <is>
          <t>Private equity</t>
        </is>
      </c>
      <c r="F99" s="69" t="inlineStr">
        <is>
          <t>Private equity: CH: Up and Coming</t>
        </is>
      </c>
      <c r="G99" s="69" t="n"/>
      <c r="H99" s="94" t="n">
        <v>1</v>
      </c>
      <c r="I99" s="94" t="inlineStr">
        <is>
          <t>High</t>
        </is>
      </c>
      <c r="J99" s="69" t="inlineStr">
        <is>
          <t>Profit pool ~SEK 7m/partner; individual-contribution model</t>
        </is>
      </c>
      <c r="K99" s="69" t="inlineStr">
        <is>
          <t>Mid-career / next-generation: room to lead and build a practice; Likely pay cut vs current profit share: needs equity / upside story</t>
        </is>
      </c>
    </row>
    <row r="100">
      <c r="A100" s="94" t="inlineStr">
        <is>
          <t>B</t>
        </is>
      </c>
      <c r="B100" s="94" t="n">
        <v>1</v>
      </c>
      <c r="C100" s="69" t="inlineStr">
        <is>
          <t>Silvia Dahlberg</t>
        </is>
      </c>
      <c r="D100" s="69" t="inlineStr">
        <is>
          <t>Vinge</t>
        </is>
      </c>
      <c r="E100" s="69" t="inlineStr">
        <is>
          <t>Dispute resolution</t>
        </is>
      </c>
      <c r="F100" s="69" t="inlineStr">
        <is>
          <t>Dispute resolution: CH: Band 4</t>
        </is>
      </c>
      <c r="G100" s="69" t="n"/>
      <c r="H100" s="94" t="n">
        <v>3</v>
      </c>
      <c r="I100" s="94" t="inlineStr">
        <is>
          <t>High</t>
        </is>
      </c>
      <c r="J100" s="69" t="inlineStr">
        <is>
          <t>Profit pool ~SEK 7m/partner; individual-contribution model</t>
        </is>
      </c>
      <c r="K100" s="69" t="inlineStr">
        <is>
          <t>Mid-career / next-generation: room to lead and build a practice; Likely pay cut vs current profit share: needs equity / upside story</t>
        </is>
      </c>
    </row>
    <row r="101">
      <c r="A101" s="94" t="inlineStr">
        <is>
          <t>B</t>
        </is>
      </c>
      <c r="B101" s="94" t="n">
        <v>1</v>
      </c>
      <c r="C101" s="69" t="inlineStr">
        <is>
          <t>Jesper Tiberg</t>
        </is>
      </c>
      <c r="D101" s="69" t="inlineStr">
        <is>
          <t>Westerberg &amp; Partners</t>
        </is>
      </c>
      <c r="E101" s="69" t="inlineStr">
        <is>
          <t>Dispute resolution</t>
        </is>
      </c>
      <c r="F101" s="69" t="inlineStr">
        <is>
          <t>Dispute resolution: CH: Band 3</t>
        </is>
      </c>
      <c r="G101" s="69" t="n"/>
      <c r="H101" s="94" t="n">
        <v>18</v>
      </c>
      <c r="I101" s="94" t="inlineStr">
        <is>
          <t>Lower</t>
        </is>
      </c>
      <c r="J101" s="69" t="n"/>
      <c r="K101" s="69" t="inlineStr">
        <is>
          <t>Mid-career / next-generation: room to lead and build a practice</t>
        </is>
      </c>
    </row>
    <row r="102">
      <c r="A102" s="94" t="inlineStr">
        <is>
          <t>B</t>
        </is>
      </c>
      <c r="B102" s="94" t="n">
        <v>1</v>
      </c>
      <c r="C102" s="69" t="inlineStr">
        <is>
          <t>Maria Fogdestam Agius</t>
        </is>
      </c>
      <c r="D102" s="69" t="inlineStr">
        <is>
          <t>Westerberg &amp; Partners</t>
        </is>
      </c>
      <c r="E102" s="69" t="inlineStr">
        <is>
          <t>Dispute resolution</t>
        </is>
      </c>
      <c r="F102" s="69" t="inlineStr">
        <is>
          <t>Dispute resolution: L500: Leading partners</t>
        </is>
      </c>
      <c r="G102" s="69" t="n"/>
      <c r="H102" s="94" t="n"/>
      <c r="I102" s="94" t="inlineStr">
        <is>
          <t>Lower</t>
        </is>
      </c>
      <c r="J102" s="69" t="n"/>
      <c r="K102" s="69" t="n"/>
    </row>
    <row r="103">
      <c r="A103" s="94" t="inlineStr">
        <is>
          <t>B</t>
        </is>
      </c>
      <c r="B103" s="94" t="n">
        <v>1</v>
      </c>
      <c r="C103" s="69" t="inlineStr">
        <is>
          <t>Filippa Exelin</t>
        </is>
      </c>
      <c r="D103" s="69" t="inlineStr">
        <is>
          <t>White &amp; Case</t>
        </is>
      </c>
      <c r="E103" s="69" t="inlineStr">
        <is>
          <t>Dispute resolution</t>
        </is>
      </c>
      <c r="F103" s="69" t="inlineStr">
        <is>
          <t>Dispute resolution: L500: Next Generation Partners, CH: Up and Coming</t>
        </is>
      </c>
      <c r="G103" s="69" t="inlineStr">
        <is>
          <t>Partner</t>
        </is>
      </c>
      <c r="H103" s="94" t="n">
        <v>1</v>
      </c>
      <c r="I103" s="94" t="inlineStr">
        <is>
          <t>High</t>
        </is>
      </c>
      <c r="J103" s="69" t="inlineStr">
        <is>
          <t>Global LLP; ~SEK 69m revenue/partner</t>
        </is>
      </c>
      <c r="K103" s="69" t="inlineStr">
        <is>
          <t>Mid-career / next-generation: room to lead and build a practice; Likely pay cut vs current profit share: needs equity / upside story</t>
        </is>
      </c>
    </row>
    <row r="104">
      <c r="A104" s="94" t="inlineStr">
        <is>
          <t>B</t>
        </is>
      </c>
      <c r="B104" s="94" t="n">
        <v>1</v>
      </c>
      <c r="C104" s="69" t="inlineStr">
        <is>
          <t>Patrik Erblad</t>
        </is>
      </c>
      <c r="D104" s="69" t="inlineStr">
        <is>
          <t>White &amp; Case</t>
        </is>
      </c>
      <c r="E104" s="69" t="inlineStr">
        <is>
          <t>Private equity</t>
        </is>
      </c>
      <c r="F104" s="69" t="inlineStr">
        <is>
          <t>Private equity: CH: Band 4</t>
        </is>
      </c>
      <c r="G104" s="69" t="n"/>
      <c r="H104" s="94" t="n">
        <v>3</v>
      </c>
      <c r="I104" s="94" t="inlineStr">
        <is>
          <t>High</t>
        </is>
      </c>
      <c r="J104" s="69" t="inlineStr">
        <is>
          <t>Global LLP; ~SEK 69m revenue/partner</t>
        </is>
      </c>
      <c r="K104" s="69" t="inlineStr">
        <is>
          <t>Mid-career / next-generation: room to lead and build a practice; Likely pay cut vs current profit share: needs equity / upside story</t>
        </is>
      </c>
    </row>
    <row r="105">
      <c r="A105" s="122" t="inlineStr">
        <is>
          <t>C</t>
        </is>
      </c>
      <c r="B105" s="122" t="n">
        <v>0</v>
      </c>
      <c r="C105" s="123" t="inlineStr">
        <is>
          <t>Torgny Wetterberg</t>
        </is>
      </c>
      <c r="D105" s="123" t="inlineStr">
        <is>
          <t>A1 Advokater</t>
        </is>
      </c>
      <c r="E105" s="123" t="inlineStr">
        <is>
          <t>Dispute resolution</t>
        </is>
      </c>
      <c r="F105" s="123" t="inlineStr">
        <is>
          <t>Dispute resolution: CH: Band 2</t>
        </is>
      </c>
      <c r="G105" s="123" t="n"/>
      <c r="H105" s="122" t="n">
        <v>20</v>
      </c>
      <c r="I105" s="122" t="inlineStr">
        <is>
          <t>Lower</t>
        </is>
      </c>
      <c r="J105" s="123" t="n"/>
      <c r="K105" s="123" t="n"/>
    </row>
    <row r="106">
      <c r="A106" s="122" t="inlineStr">
        <is>
          <t>C</t>
        </is>
      </c>
      <c r="B106" s="122" t="n">
        <v>0</v>
      </c>
      <c r="C106" s="123" t="inlineStr">
        <is>
          <t>Joachim Funariu</t>
        </is>
      </c>
      <c r="D106" s="123" t="inlineStr">
        <is>
          <t>BAHR</t>
        </is>
      </c>
      <c r="E106" s="123" t="inlineStr">
        <is>
          <t>Corporate / M&amp;A</t>
        </is>
      </c>
      <c r="F106" s="123" t="inlineStr">
        <is>
          <t>Corporate / M&amp;A: CH: Up and Coming</t>
        </is>
      </c>
      <c r="G106" s="123" t="n"/>
      <c r="H106" s="122" t="n">
        <v>1</v>
      </c>
      <c r="I106" s="122" t="inlineStr">
        <is>
          <t>Medium</t>
        </is>
      </c>
      <c r="J106" s="123" t="inlineStr">
        <is>
          <t>New Stockholm office (2026); partners just moved</t>
        </is>
      </c>
      <c r="K106" s="123" t="inlineStr">
        <is>
          <t>Mid-career / next-generation: room to lead and build a practice; New Stockholm office (2026); partners just moved</t>
        </is>
      </c>
    </row>
    <row r="107">
      <c r="A107" s="122" t="inlineStr">
        <is>
          <t>C</t>
        </is>
      </c>
      <c r="B107" s="122" t="n">
        <v>0</v>
      </c>
      <c r="C107" s="123" t="inlineStr">
        <is>
          <t>Robert Kullgren</t>
        </is>
      </c>
      <c r="D107" s="123" t="inlineStr">
        <is>
          <t>CMS Wistrand</t>
        </is>
      </c>
      <c r="E107" s="123" t="inlineStr">
        <is>
          <t>Corporate / M&amp;A</t>
        </is>
      </c>
      <c r="F107" s="123" t="inlineStr">
        <is>
          <t>Corporate / M&amp;A: CH: Band 4</t>
        </is>
      </c>
      <c r="G107" s="123" t="n"/>
      <c r="H107" s="122" t="n">
        <v>18</v>
      </c>
      <c r="I107" s="122" t="inlineStr">
        <is>
          <t>Medium</t>
        </is>
      </c>
      <c r="J107" s="123" t="inlineStr">
        <is>
          <t>Joined CMS network 2024</t>
        </is>
      </c>
      <c r="K107" s="123" t="inlineStr">
        <is>
          <t>Mid-career / next-generation: room to lead and build a practice</t>
        </is>
      </c>
    </row>
    <row r="108">
      <c r="A108" s="122" t="inlineStr">
        <is>
          <t>C</t>
        </is>
      </c>
      <c r="B108" s="122" t="n">
        <v>0</v>
      </c>
      <c r="C108" s="123" t="inlineStr">
        <is>
          <t>Peter Lilja</t>
        </is>
      </c>
      <c r="D108" s="123" t="inlineStr">
        <is>
          <t>Cirio</t>
        </is>
      </c>
      <c r="E108" s="123" t="inlineStr">
        <is>
          <t>Corporate / M&amp;A</t>
        </is>
      </c>
      <c r="F108" s="123" t="inlineStr">
        <is>
          <t>Corporate / M&amp;A: CH: Band 3</t>
        </is>
      </c>
      <c r="G108" s="123" t="n"/>
      <c r="H108" s="122" t="n">
        <v>15</v>
      </c>
      <c r="I108" s="122" t="inlineStr">
        <is>
          <t>Medium</t>
        </is>
      </c>
      <c r="J108" s="123" t="inlineStr">
        <is>
          <t>Growing (+15% 2025); net partner gainer</t>
        </is>
      </c>
      <c r="K108" s="123" t="inlineStr">
        <is>
          <t>Mid-career / next-generation: room to lead and build a practice</t>
        </is>
      </c>
    </row>
    <row r="109">
      <c r="A109" s="122" t="inlineStr">
        <is>
          <t>C</t>
        </is>
      </c>
      <c r="B109" s="122" t="n">
        <v>0</v>
      </c>
      <c r="C109" s="123" t="inlineStr">
        <is>
          <t>Björn Sjöberg</t>
        </is>
      </c>
      <c r="D109" s="123" t="inlineStr">
        <is>
          <t>DLA Piper</t>
        </is>
      </c>
      <c r="E109" s="123" t="inlineStr">
        <is>
          <t>Banking &amp; finance</t>
        </is>
      </c>
      <c r="F109" s="123" t="inlineStr">
        <is>
          <t>Banking &amp; finance: CH: Band 4</t>
        </is>
      </c>
      <c r="G109" s="123" t="n"/>
      <c r="H109" s="122" t="n">
        <v>18</v>
      </c>
      <c r="I109" s="122" t="inlineStr">
        <is>
          <t>Medium</t>
        </is>
      </c>
      <c r="J109" s="123" t="inlineStr">
        <is>
          <t>Revenue -9% FY24/25; net partner gainer</t>
        </is>
      </c>
      <c r="K109" s="123" t="inlineStr">
        <is>
          <t>Mid-career / next-generation: room to lead and build a practice</t>
        </is>
      </c>
    </row>
    <row r="110">
      <c r="A110" s="122" t="inlineStr">
        <is>
          <t>C</t>
        </is>
      </c>
      <c r="B110" s="122" t="n">
        <v>0</v>
      </c>
      <c r="C110" s="123" t="inlineStr">
        <is>
          <t>Björn Svensson</t>
        </is>
      </c>
      <c r="D110" s="123" t="inlineStr">
        <is>
          <t>Gernandt &amp; Danielsson</t>
        </is>
      </c>
      <c r="E110" s="123" t="inlineStr">
        <is>
          <t>Banking &amp; finance</t>
        </is>
      </c>
      <c r="F110" s="123" t="inlineStr">
        <is>
          <t>Banking &amp; finance: L500: Leading partners, CH: Band 4</t>
        </is>
      </c>
      <c r="G110" s="123" t="inlineStr">
        <is>
          <t>Partner</t>
        </is>
      </c>
      <c r="H110" s="122" t="n">
        <v>4</v>
      </c>
      <c r="I110" s="122" t="inlineStr">
        <is>
          <t>High</t>
        </is>
      </c>
      <c r="J110" s="123" t="inlineStr">
        <is>
          <t>Net partner gainer (team lifts 2024-26)</t>
        </is>
      </c>
      <c r="K110" s="123" t="inlineStr">
        <is>
          <t>Likely pay cut vs current profit share: needs equity / upside story</t>
        </is>
      </c>
    </row>
    <row r="111">
      <c r="A111" s="122" t="inlineStr">
        <is>
          <t>C</t>
        </is>
      </c>
      <c r="B111" s="122" t="n">
        <v>0</v>
      </c>
      <c r="C111" s="123" t="inlineStr">
        <is>
          <t>Corinne Ekman</t>
        </is>
      </c>
      <c r="D111" s="123" t="inlineStr">
        <is>
          <t>Gernandt &amp; Danielsson</t>
        </is>
      </c>
      <c r="E111" s="123" t="inlineStr">
        <is>
          <t>Corporate / M&amp;A</t>
        </is>
      </c>
      <c r="F111" s="123" t="inlineStr">
        <is>
          <t>Corporate / M&amp;A: L500: Leading partners, CH: Band 4</t>
        </is>
      </c>
      <c r="G111" s="123" t="inlineStr">
        <is>
          <t>Partner</t>
        </is>
      </c>
      <c r="H111" s="122" t="n">
        <v>4</v>
      </c>
      <c r="I111" s="122" t="inlineStr">
        <is>
          <t>High</t>
        </is>
      </c>
      <c r="J111" s="123" t="inlineStr">
        <is>
          <t>Net partner gainer (team lifts 2024-26)</t>
        </is>
      </c>
      <c r="K111" s="123" t="inlineStr">
        <is>
          <t>Likely pay cut vs current profit share: needs equity / upside story</t>
        </is>
      </c>
    </row>
    <row r="112">
      <c r="A112" s="122" t="inlineStr">
        <is>
          <t>C</t>
        </is>
      </c>
      <c r="B112" s="122" t="n">
        <v>0</v>
      </c>
      <c r="C112" s="123" t="inlineStr">
        <is>
          <t>Daniel Waerme</t>
        </is>
      </c>
      <c r="D112" s="123" t="inlineStr">
        <is>
          <t>Gernandt &amp; Danielsson</t>
        </is>
      </c>
      <c r="E112" s="123" t="inlineStr">
        <is>
          <t>Dispute resolution</t>
        </is>
      </c>
      <c r="F112" s="123" t="inlineStr">
        <is>
          <t>Dispute resolution: L500: Leading partners, CH: Band 3</t>
        </is>
      </c>
      <c r="G112" s="123" t="inlineStr">
        <is>
          <t>Partner</t>
        </is>
      </c>
      <c r="H112" s="122" t="n">
        <v>4</v>
      </c>
      <c r="I112" s="122" t="inlineStr">
        <is>
          <t>High</t>
        </is>
      </c>
      <c r="J112" s="123" t="inlineStr">
        <is>
          <t>Net partner gainer (team lifts 2024-26)</t>
        </is>
      </c>
      <c r="K112" s="123" t="inlineStr">
        <is>
          <t>Likely pay cut vs current profit share: needs equity / upside story</t>
        </is>
      </c>
    </row>
    <row r="113">
      <c r="A113" s="122" t="inlineStr">
        <is>
          <t>C</t>
        </is>
      </c>
      <c r="B113" s="122" t="n">
        <v>0</v>
      </c>
      <c r="C113" s="123" t="inlineStr">
        <is>
          <t>Sofie Viktorsson</t>
        </is>
      </c>
      <c r="D113" s="123" t="inlineStr">
        <is>
          <t>Gernandt &amp; Danielsson</t>
        </is>
      </c>
      <c r="E113" s="123" t="inlineStr">
        <is>
          <t>Banking &amp; finance</t>
        </is>
      </c>
      <c r="F113" s="123" t="inlineStr">
        <is>
          <t>Banking &amp; finance: L500: Leading partners, CH: Band 4</t>
        </is>
      </c>
      <c r="G113" s="123" t="inlineStr">
        <is>
          <t>Partner</t>
        </is>
      </c>
      <c r="H113" s="122" t="n">
        <v>3</v>
      </c>
      <c r="I113" s="122" t="inlineStr">
        <is>
          <t>High</t>
        </is>
      </c>
      <c r="J113" s="123" t="inlineStr">
        <is>
          <t>Net partner gainer (team lifts 2024-26)</t>
        </is>
      </c>
      <c r="K113" s="123" t="inlineStr">
        <is>
          <t>Likely pay cut vs current profit share: needs equity / upside story</t>
        </is>
      </c>
    </row>
    <row r="114">
      <c r="A114" s="122" t="inlineStr">
        <is>
          <t>C</t>
        </is>
      </c>
      <c r="B114" s="122" t="n">
        <v>0</v>
      </c>
      <c r="C114" s="123" t="inlineStr">
        <is>
          <t>Mattias Anjou</t>
        </is>
      </c>
      <c r="D114" s="123" t="inlineStr">
        <is>
          <t>Hammarskiöld</t>
        </is>
      </c>
      <c r="E114" s="123" t="inlineStr">
        <is>
          <t>Banking &amp; finance</t>
        </is>
      </c>
      <c r="F114" s="123" t="inlineStr">
        <is>
          <t>Banking &amp; finance: L500: Leading partners</t>
        </is>
      </c>
      <c r="G114" s="123" t="inlineStr">
        <is>
          <t>Partner</t>
        </is>
      </c>
      <c r="H114" s="122" t="n">
        <v>9</v>
      </c>
      <c r="I114" s="122" t="inlineStr">
        <is>
          <t>Medium</t>
        </is>
      </c>
      <c r="J114" s="123" t="n"/>
      <c r="K114" s="123" t="n"/>
    </row>
    <row r="115">
      <c r="A115" s="122" t="inlineStr">
        <is>
          <t>C</t>
        </is>
      </c>
      <c r="B115" s="122" t="n">
        <v>0</v>
      </c>
      <c r="C115" s="123" t="inlineStr">
        <is>
          <t>Magnus Eriksson</t>
        </is>
      </c>
      <c r="D115" s="123" t="inlineStr">
        <is>
          <t>Kastell</t>
        </is>
      </c>
      <c r="E115" s="123" t="inlineStr">
        <is>
          <t>Dispute resolution</t>
        </is>
      </c>
      <c r="F115" s="123" t="inlineStr">
        <is>
          <t>Dispute resolution: CH: Band 2</t>
        </is>
      </c>
      <c r="G115" s="123" t="n"/>
      <c r="H115" s="122" t="n">
        <v>18</v>
      </c>
      <c r="I115" s="122" t="inlineStr">
        <is>
          <t>Lower</t>
        </is>
      </c>
      <c r="J115" s="123" t="n"/>
      <c r="K115" s="123" t="n"/>
    </row>
    <row r="116">
      <c r="A116" s="122" t="inlineStr">
        <is>
          <t>C</t>
        </is>
      </c>
      <c r="B116" s="122" t="n">
        <v>0</v>
      </c>
      <c r="C116" s="123" t="inlineStr">
        <is>
          <t>Erika Finn</t>
        </is>
      </c>
      <c r="D116" s="123" t="inlineStr">
        <is>
          <t>Kilpatrick Townsend &amp; Stockton Advokat KB</t>
        </is>
      </c>
      <c r="E116" s="123" t="inlineStr">
        <is>
          <t>Dispute resolution</t>
        </is>
      </c>
      <c r="F116" s="123" t="inlineStr">
        <is>
          <t>Dispute resolution: L500: Leading partners</t>
        </is>
      </c>
      <c r="G116" s="123" t="inlineStr">
        <is>
          <t>Advokat, Partner</t>
        </is>
      </c>
      <c r="H116" s="122" t="n"/>
      <c r="I116" s="122" t="inlineStr">
        <is>
          <t>Medium</t>
        </is>
      </c>
      <c r="J116" s="123" t="n"/>
      <c r="K116" s="123" t="n"/>
    </row>
    <row r="117">
      <c r="A117" s="122" t="inlineStr">
        <is>
          <t>C</t>
        </is>
      </c>
      <c r="B117" s="122" t="n">
        <v>0</v>
      </c>
      <c r="C117" s="123" t="inlineStr">
        <is>
          <t>Magnus Wennerhorn</t>
        </is>
      </c>
      <c r="D117" s="123" t="inlineStr">
        <is>
          <t>Linklaters</t>
        </is>
      </c>
      <c r="E117" s="123" t="inlineStr">
        <is>
          <t>Banking &amp; finance</t>
        </is>
      </c>
      <c r="F117" s="123" t="inlineStr">
        <is>
          <t>Banking &amp; finance: L500: Hall of Fame, CH: Band 2</t>
        </is>
      </c>
      <c r="G117" s="123" t="n"/>
      <c r="H117" s="122" t="n">
        <v>18</v>
      </c>
      <c r="I117" s="122" t="inlineStr">
        <is>
          <t>High</t>
        </is>
      </c>
      <c r="J117" s="123" t="inlineStr">
        <is>
          <t>No new partners for 3 years; Stockholm staff down from 88 to 75</t>
        </is>
      </c>
      <c r="K117" s="123" t="inlineStr">
        <is>
          <t>Firm under pressure: No new partners for 3 years; Stockholm staff down from 88 to 75; Senior market leader: hard to move; possible senior adviser / team anchor; Likely pay cut vs current profit share: needs equity / upside story; Has moved firm before (2020-24)</t>
        </is>
      </c>
    </row>
    <row r="118">
      <c r="A118" s="122" t="inlineStr">
        <is>
          <t>C</t>
        </is>
      </c>
      <c r="B118" s="122" t="n">
        <v>0</v>
      </c>
      <c r="C118" s="123" t="inlineStr">
        <is>
          <t>Isabella Ramsay</t>
        </is>
      </c>
      <c r="D118" s="123" t="inlineStr">
        <is>
          <t>Mannheimer Swartling</t>
        </is>
      </c>
      <c r="E118" s="123" t="inlineStr">
        <is>
          <t>Corporate / M&amp;A; Private equity</t>
        </is>
      </c>
      <c r="F118" s="123" t="inlineStr">
        <is>
          <t>Corporate / M&amp;A: CH: Band 3 | Private equity: CH: Band 3</t>
        </is>
      </c>
      <c r="G118" s="123" t="n"/>
      <c r="H118" s="122" t="n">
        <v>10</v>
      </c>
      <c r="I118" s="122" t="inlineStr">
        <is>
          <t>High</t>
        </is>
      </c>
      <c r="J118" s="123" t="inlineStr">
        <is>
          <t>Lockstep: profit pool ~SEK 8.7m/partner; 2 partner exits since 2024</t>
        </is>
      </c>
      <c r="K118" s="123" t="inlineStr">
        <is>
          <t>Mid-career / next-generation: room to lead and build a practice; Likely pay cut vs current profit share: needs equity / upside story; Ranked in Corporate / M&amp;A &amp; Private equity</t>
        </is>
      </c>
    </row>
    <row r="119">
      <c r="A119" s="122" t="inlineStr">
        <is>
          <t>C</t>
        </is>
      </c>
      <c r="B119" s="122" t="n">
        <v>0</v>
      </c>
      <c r="C119" s="123" t="inlineStr">
        <is>
          <t>Mattias Göransson Rondin</t>
        </is>
      </c>
      <c r="D119" s="123" t="inlineStr">
        <is>
          <t>Mannheimer Swartling</t>
        </is>
      </c>
      <c r="E119" s="123" t="inlineStr">
        <is>
          <t>Dispute resolution</t>
        </is>
      </c>
      <c r="F119" s="123" t="inlineStr">
        <is>
          <t>Dispute resolution: CH: Band 3</t>
        </is>
      </c>
      <c r="G119" s="123" t="n"/>
      <c r="H119" s="122" t="n">
        <v>12</v>
      </c>
      <c r="I119" s="122" t="inlineStr">
        <is>
          <t>High</t>
        </is>
      </c>
      <c r="J119" s="123" t="inlineStr">
        <is>
          <t>Lockstep: profit pool ~SEK 8.7m/partner; 2 partner exits since 2024</t>
        </is>
      </c>
      <c r="K119" s="123" t="inlineStr">
        <is>
          <t>Mid-career / next-generation: room to lead and build a practice; Likely pay cut vs current profit share: needs equity / upside story</t>
        </is>
      </c>
    </row>
    <row r="120">
      <c r="A120" s="122" t="inlineStr">
        <is>
          <t>C</t>
        </is>
      </c>
      <c r="B120" s="122" t="n">
        <v>0</v>
      </c>
      <c r="C120" s="123" t="inlineStr">
        <is>
          <t>Johan Lundberg</t>
        </is>
      </c>
      <c r="D120" s="123" t="inlineStr">
        <is>
          <t>RE:FI STHLM</t>
        </is>
      </c>
      <c r="E120" s="123" t="inlineStr">
        <is>
          <t>Banking &amp; finance</t>
        </is>
      </c>
      <c r="F120" s="123" t="inlineStr">
        <is>
          <t>Banking &amp; finance: CH: Band 1</t>
        </is>
      </c>
      <c r="G120" s="123" t="n"/>
      <c r="H120" s="122" t="n">
        <v>20</v>
      </c>
      <c r="I120" s="122" t="inlineStr">
        <is>
          <t>Lower</t>
        </is>
      </c>
      <c r="J120" s="123" t="inlineStr">
        <is>
          <t>Boutique founded 2024 (ex-Cederquist)</t>
        </is>
      </c>
      <c r="K120" s="123" t="inlineStr">
        <is>
          <t>Senior market leader: hard to move; possible senior adviser / team anchor; Has moved firm before (2020-24)</t>
        </is>
      </c>
    </row>
    <row r="121">
      <c r="A121" s="122" t="inlineStr">
        <is>
          <t>C</t>
        </is>
      </c>
      <c r="B121" s="122" t="n">
        <v>0</v>
      </c>
      <c r="C121" s="123" t="inlineStr">
        <is>
          <t>Pontus Enquist</t>
        </is>
      </c>
      <c r="D121" s="123" t="inlineStr">
        <is>
          <t>Roschier</t>
        </is>
      </c>
      <c r="E121" s="123" t="inlineStr">
        <is>
          <t>Corporate / M&amp;A</t>
        </is>
      </c>
      <c r="F121" s="123" t="inlineStr">
        <is>
          <t>Corporate / M&amp;A: CH: Band 4</t>
        </is>
      </c>
      <c r="G121" s="123" t="inlineStr">
        <is>
          <t>Department head</t>
        </is>
      </c>
      <c r="H121" s="122" t="n">
        <v>16</v>
      </c>
      <c r="I121" s="122" t="inlineStr">
        <is>
          <t>High</t>
        </is>
      </c>
      <c r="J121" s="123" t="inlineStr">
        <is>
          <t>3 partner exits 2020-26</t>
        </is>
      </c>
      <c r="K121" s="123" t="inlineStr">
        <is>
          <t>3 partner exits 2020-26; Mid-career / next-generation: room to lead and build a practice; Likely pay cut vs current profit share: needs equity / upside story</t>
        </is>
      </c>
    </row>
    <row r="122">
      <c r="A122" s="122" t="inlineStr">
        <is>
          <t>C</t>
        </is>
      </c>
      <c r="B122" s="122" t="n">
        <v>0</v>
      </c>
      <c r="C122" s="123" t="inlineStr">
        <is>
          <t>Johan Hallén</t>
        </is>
      </c>
      <c r="D122" s="123" t="inlineStr">
        <is>
          <t>Setterwalls</t>
        </is>
      </c>
      <c r="E122" s="123" t="inlineStr">
        <is>
          <t>Corporate / M&amp;A</t>
        </is>
      </c>
      <c r="F122" s="123" t="inlineStr">
        <is>
          <t>Corporate / M&amp;A: L500: Hall of Fame</t>
        </is>
      </c>
      <c r="G122" s="123" t="n"/>
      <c r="H122" s="122" t="n"/>
      <c r="I122" s="122" t="inlineStr">
        <is>
          <t>High</t>
        </is>
      </c>
      <c r="J122" s="123" t="inlineStr">
        <is>
          <t>Malmö office (12 partners) left for AGRD, Sep-2026</t>
        </is>
      </c>
      <c r="K122" s="123" t="inlineStr">
        <is>
          <t>Firm under pressure: Malmö office (12 partners) left for AGRD, Sep-2026; Senior market leader: hard to move; possible senior adviser / team anchor; Likely pay cut vs current profit share: needs equity / upside story</t>
        </is>
      </c>
    </row>
    <row r="123">
      <c r="A123" s="122" t="inlineStr">
        <is>
          <t>C</t>
        </is>
      </c>
      <c r="B123" s="122" t="n">
        <v>0</v>
      </c>
      <c r="C123" s="123" t="inlineStr">
        <is>
          <t>Fredrik Olsson</t>
        </is>
      </c>
      <c r="D123" s="123" t="inlineStr">
        <is>
          <t>Snellman</t>
        </is>
      </c>
      <c r="E123" s="123" t="inlineStr">
        <is>
          <t>Banking &amp; finance</t>
        </is>
      </c>
      <c r="F123" s="123" t="inlineStr">
        <is>
          <t>Banking &amp; finance: L500: Hall of Fame, CH: Band 4</t>
        </is>
      </c>
      <c r="G123" s="123" t="inlineStr">
        <is>
          <t>Managing Partner</t>
        </is>
      </c>
      <c r="H123" s="122" t="n">
        <v>17</v>
      </c>
      <c r="I123" s="122" t="inlineStr">
        <is>
          <t>Medium</t>
        </is>
      </c>
      <c r="J123" s="123" t="inlineStr">
        <is>
          <t>Separated from Hannes Snellman (2024); ~5 partner exits since 2024 incl. heads of competition and disputes</t>
        </is>
      </c>
      <c r="K123" s="123" t="inlineStr">
        <is>
          <t>Firm under pressure: Separated from Hannes Snellman (2024); ~5 partner exits since 2024 incl. heads of competition and disputes; Senior market leader: hard to move; possible senior adviser / team anchor</t>
        </is>
      </c>
    </row>
    <row r="124">
      <c r="A124" s="122" t="inlineStr">
        <is>
          <t>C</t>
        </is>
      </c>
      <c r="B124" s="122" t="n">
        <v>0</v>
      </c>
      <c r="C124" s="123" t="inlineStr">
        <is>
          <t>Peter Danowsky</t>
        </is>
      </c>
      <c r="D124" s="123" t="inlineStr">
        <is>
          <t>TIME DANOWSKY Advokatbyrå AB</t>
        </is>
      </c>
      <c r="E124" s="123" t="inlineStr">
        <is>
          <t>Dispute resolution</t>
        </is>
      </c>
      <c r="F124" s="123" t="inlineStr">
        <is>
          <t>Dispute resolution: CH: Senior Statespeople</t>
        </is>
      </c>
      <c r="G124" s="123" t="n"/>
      <c r="H124" s="122" t="n">
        <v>0</v>
      </c>
      <c r="I124" s="122" t="inlineStr">
        <is>
          <t>Lower</t>
        </is>
      </c>
      <c r="J124" s="123" t="n"/>
      <c r="K124" s="123" t="inlineStr">
        <is>
          <t>Senior market leader: hard to move; possible senior adviser / team anchor</t>
        </is>
      </c>
    </row>
    <row r="125">
      <c r="A125" s="122" t="inlineStr">
        <is>
          <t>C</t>
        </is>
      </c>
      <c r="B125" s="122" t="n">
        <v>0</v>
      </c>
      <c r="C125" s="123" t="inlineStr">
        <is>
          <t>Albert Wållgren</t>
        </is>
      </c>
      <c r="D125" s="123" t="inlineStr">
        <is>
          <t>Vinge</t>
        </is>
      </c>
      <c r="E125" s="123" t="inlineStr">
        <is>
          <t>Banking &amp; finance</t>
        </is>
      </c>
      <c r="F125" s="123" t="inlineStr">
        <is>
          <t>Banking &amp; finance: CH: Band 3</t>
        </is>
      </c>
      <c r="G125" s="123" t="n"/>
      <c r="H125" s="122" t="n">
        <v>8</v>
      </c>
      <c r="I125" s="122" t="inlineStr">
        <is>
          <t>High</t>
        </is>
      </c>
      <c r="J125" s="123" t="inlineStr">
        <is>
          <t>Profit pool ~SEK 7m/partner; individual-contribution model</t>
        </is>
      </c>
      <c r="K125" s="123" t="inlineStr">
        <is>
          <t>Mid-career / next-generation: room to lead and build a practice; Likely pay cut vs current profit share: needs equity / upside story</t>
        </is>
      </c>
    </row>
    <row r="126">
      <c r="A126" s="122" t="inlineStr">
        <is>
          <t>C</t>
        </is>
      </c>
      <c r="B126" s="122" t="n">
        <v>0</v>
      </c>
      <c r="C126" s="123" t="inlineStr">
        <is>
          <t>Henrik Ossborn</t>
        </is>
      </c>
      <c r="D126" s="123" t="inlineStr">
        <is>
          <t>Vinge</t>
        </is>
      </c>
      <c r="E126" s="123" t="inlineStr">
        <is>
          <t>Banking &amp; finance</t>
        </is>
      </c>
      <c r="F126" s="123" t="inlineStr">
        <is>
          <t>Banking &amp; finance: CH: Band 4</t>
        </is>
      </c>
      <c r="G126" s="123" t="n"/>
      <c r="H126" s="122" t="n">
        <v>8</v>
      </c>
      <c r="I126" s="122" t="inlineStr">
        <is>
          <t>High</t>
        </is>
      </c>
      <c r="J126" s="123" t="inlineStr">
        <is>
          <t>Profit pool ~SEK 7m/partner; individual-contribution model</t>
        </is>
      </c>
      <c r="K126" s="123" t="inlineStr">
        <is>
          <t>Mid-career / next-generation: room to lead and build a practice; Likely pay cut vs current profit share: needs equity / upside story</t>
        </is>
      </c>
    </row>
    <row r="127">
      <c r="A127" s="122" t="inlineStr">
        <is>
          <t>C</t>
        </is>
      </c>
      <c r="B127" s="122" t="n">
        <v>0</v>
      </c>
      <c r="C127" s="123" t="inlineStr">
        <is>
          <t>Jesper Schönbeck</t>
        </is>
      </c>
      <c r="D127" s="123" t="inlineStr">
        <is>
          <t>Vinge</t>
        </is>
      </c>
      <c r="E127" s="123" t="inlineStr">
        <is>
          <t>Corporate / M&amp;A</t>
        </is>
      </c>
      <c r="F127" s="123" t="inlineStr">
        <is>
          <t>Corporate / M&amp;A: CH: Band 5</t>
        </is>
      </c>
      <c r="G127" s="123" t="n"/>
      <c r="H127" s="122" t="n">
        <v>10</v>
      </c>
      <c r="I127" s="122" t="inlineStr">
        <is>
          <t>High</t>
        </is>
      </c>
      <c r="J127" s="123" t="inlineStr">
        <is>
          <t>Profit pool ~SEK 7m/partner; individual-contribution model</t>
        </is>
      </c>
      <c r="K127" s="123" t="inlineStr">
        <is>
          <t>Mid-career / next-generation: room to lead and build a practice; Likely pay cut vs current profit share: needs equity / upside story</t>
        </is>
      </c>
    </row>
    <row r="128">
      <c r="A128" s="122" t="inlineStr">
        <is>
          <t>C</t>
        </is>
      </c>
      <c r="B128" s="122" t="n">
        <v>0</v>
      </c>
      <c r="C128" s="123" t="inlineStr">
        <is>
          <t>Johan Larsson</t>
        </is>
      </c>
      <c r="D128" s="123" t="inlineStr">
        <is>
          <t>Vinge</t>
        </is>
      </c>
      <c r="E128" s="123" t="inlineStr">
        <is>
          <t>Private equity</t>
        </is>
      </c>
      <c r="F128" s="123" t="inlineStr">
        <is>
          <t>Private equity: CH: Band 4</t>
        </is>
      </c>
      <c r="G128" s="123" t="n"/>
      <c r="H128" s="122" t="n">
        <v>10</v>
      </c>
      <c r="I128" s="122" t="inlineStr">
        <is>
          <t>High</t>
        </is>
      </c>
      <c r="J128" s="123" t="inlineStr">
        <is>
          <t>Profit pool ~SEK 7m/partner; individual-contribution model</t>
        </is>
      </c>
      <c r="K128" s="123" t="inlineStr">
        <is>
          <t>Mid-career / next-generation: room to lead and build a practice; Likely pay cut vs current profit share: needs equity / upside story</t>
        </is>
      </c>
    </row>
    <row r="129">
      <c r="A129" s="122" t="inlineStr">
        <is>
          <t>C</t>
        </is>
      </c>
      <c r="B129" s="122" t="n">
        <v>0</v>
      </c>
      <c r="C129" s="123" t="inlineStr">
        <is>
          <t>Jonas Eklund</t>
        </is>
      </c>
      <c r="D129" s="123" t="inlineStr">
        <is>
          <t>Vinge</t>
        </is>
      </c>
      <c r="E129" s="123" t="inlineStr">
        <is>
          <t>Dispute resolution</t>
        </is>
      </c>
      <c r="F129" s="123" t="inlineStr">
        <is>
          <t>Dispute resolution: CH: Band 3</t>
        </is>
      </c>
      <c r="G129" s="123" t="n"/>
      <c r="H129" s="122" t="n">
        <v>13</v>
      </c>
      <c r="I129" s="122" t="inlineStr">
        <is>
          <t>High</t>
        </is>
      </c>
      <c r="J129" s="123" t="inlineStr">
        <is>
          <t>Profit pool ~SEK 7m/partner; individual-contribution model</t>
        </is>
      </c>
      <c r="K129" s="123" t="inlineStr">
        <is>
          <t>Mid-career / next-generation: room to lead and build a practice; Likely pay cut vs current profit share: needs equity / upside story</t>
        </is>
      </c>
    </row>
    <row r="130">
      <c r="A130" s="122" t="inlineStr">
        <is>
          <t>C</t>
        </is>
      </c>
      <c r="B130" s="122" t="n">
        <v>0</v>
      </c>
      <c r="C130" s="123" t="inlineStr">
        <is>
          <t>Jonas Johansson</t>
        </is>
      </c>
      <c r="D130" s="123" t="inlineStr">
        <is>
          <t>Vinge</t>
        </is>
      </c>
      <c r="E130" s="123" t="inlineStr">
        <is>
          <t>Corporate / M&amp;A; Private equity</t>
        </is>
      </c>
      <c r="F130" s="123" t="inlineStr">
        <is>
          <t>Corporate / M&amp;A: CH: Band 3 | Private equity: CH: Band 3</t>
        </is>
      </c>
      <c r="G130" s="123" t="n"/>
      <c r="H130" s="122" t="n">
        <v>9</v>
      </c>
      <c r="I130" s="122" t="inlineStr">
        <is>
          <t>High</t>
        </is>
      </c>
      <c r="J130" s="123" t="inlineStr">
        <is>
          <t>Profit pool ~SEK 7m/partner; individual-contribution model</t>
        </is>
      </c>
      <c r="K130" s="123" t="inlineStr">
        <is>
          <t>Mid-career / next-generation: room to lead and build a practice; Likely pay cut vs current profit share: needs equity / upside story; Ranked in Corporate / M&amp;A &amp; Private equity</t>
        </is>
      </c>
    </row>
    <row r="131">
      <c r="A131" s="122" t="inlineStr">
        <is>
          <t>C</t>
        </is>
      </c>
      <c r="B131" s="122" t="n">
        <v>0</v>
      </c>
      <c r="C131" s="123" t="inlineStr">
        <is>
          <t>Therese Isaksson</t>
        </is>
      </c>
      <c r="D131" s="123" t="inlineStr">
        <is>
          <t>Westerberg &amp; Partners</t>
        </is>
      </c>
      <c r="E131" s="123" t="inlineStr">
        <is>
          <t>Dispute resolution</t>
        </is>
      </c>
      <c r="F131" s="123" t="inlineStr">
        <is>
          <t>Dispute resolution: L500: Leading partners, CH: Band 4</t>
        </is>
      </c>
      <c r="G131" s="123" t="inlineStr">
        <is>
          <t>Department head</t>
        </is>
      </c>
      <c r="H131" s="122" t="n">
        <v>17</v>
      </c>
      <c r="I131" s="122" t="inlineStr">
        <is>
          <t>Lower</t>
        </is>
      </c>
      <c r="J131" s="123" t="n"/>
      <c r="K131" s="123" t="n"/>
    </row>
    <row r="132">
      <c r="A132" s="122" t="inlineStr">
        <is>
          <t>C</t>
        </is>
      </c>
      <c r="B132" s="122" t="n">
        <v>0</v>
      </c>
      <c r="C132" s="123" t="inlineStr">
        <is>
          <t>Johan Steen</t>
        </is>
      </c>
      <c r="D132" s="123" t="inlineStr">
        <is>
          <t>White &amp; Case</t>
        </is>
      </c>
      <c r="E132" s="123" t="inlineStr">
        <is>
          <t>Corporate / M&amp;A; Private equity</t>
        </is>
      </c>
      <c r="F132" s="123" t="inlineStr">
        <is>
          <t>Corporate / M&amp;A: L500: Leading partners | Private equity: CH: Band 3</t>
        </is>
      </c>
      <c r="G132" s="123" t="inlineStr">
        <is>
          <t>Partner</t>
        </is>
      </c>
      <c r="H132" s="122" t="n">
        <v>6</v>
      </c>
      <c r="I132" s="122" t="inlineStr">
        <is>
          <t>High</t>
        </is>
      </c>
      <c r="J132" s="123" t="inlineStr">
        <is>
          <t>Global LLP; ~SEK 69m revenue/partner</t>
        </is>
      </c>
      <c r="K132" s="123" t="inlineStr">
        <is>
          <t>Likely pay cut vs current profit share: needs equity / upside story; Ranked in Corporate / M&amp;A &amp; Private equity</t>
        </is>
      </c>
    </row>
    <row r="133">
      <c r="A133" s="122" t="inlineStr">
        <is>
          <t>C</t>
        </is>
      </c>
      <c r="B133" s="122" t="n">
        <v>0</v>
      </c>
      <c r="C133" s="123" t="inlineStr">
        <is>
          <t>Shoan Panahi</t>
        </is>
      </c>
      <c r="D133" s="123" t="inlineStr">
        <is>
          <t>White &amp; Case</t>
        </is>
      </c>
      <c r="E133" s="123" t="inlineStr">
        <is>
          <t>Private equity</t>
        </is>
      </c>
      <c r="F133" s="123" t="inlineStr">
        <is>
          <t>Private equity: CH: Band 3</t>
        </is>
      </c>
      <c r="G133" s="123" t="n"/>
      <c r="H133" s="122" t="n">
        <v>7</v>
      </c>
      <c r="I133" s="122" t="inlineStr">
        <is>
          <t>High</t>
        </is>
      </c>
      <c r="J133" s="123" t="inlineStr">
        <is>
          <t>Global LLP; ~SEK 69m revenue/partner</t>
        </is>
      </c>
      <c r="K133" s="123" t="inlineStr">
        <is>
          <t>Mid-career / next-generation: room to lead and build a practice; Likely pay cut vs current profit share: needs equity / upside story</t>
        </is>
      </c>
    </row>
    <row r="134">
      <c r="A134" s="122" t="inlineStr">
        <is>
          <t>C</t>
        </is>
      </c>
      <c r="B134" s="122" t="n">
        <v>-1</v>
      </c>
      <c r="C134" s="123" t="inlineStr">
        <is>
          <t>Frida Lantoft</t>
        </is>
      </c>
      <c r="D134" s="123" t="inlineStr">
        <is>
          <t>BAHR</t>
        </is>
      </c>
      <c r="E134" s="123" t="inlineStr">
        <is>
          <t>Banking &amp; finance</t>
        </is>
      </c>
      <c r="F134" s="123" t="inlineStr">
        <is>
          <t>Banking &amp; finance: CH: Band 4</t>
        </is>
      </c>
      <c r="G134" s="123" t="n"/>
      <c r="H134" s="122" t="n">
        <v>4</v>
      </c>
      <c r="I134" s="122" t="inlineStr">
        <is>
          <t>Medium</t>
        </is>
      </c>
      <c r="J134" s="123" t="inlineStr">
        <is>
          <t>New Stockholm office (2026); partners just moved</t>
        </is>
      </c>
      <c r="K134" s="123" t="inlineStr">
        <is>
          <t>Mid-career / next-generation: room to lead and build a practice; Moved firm in 2024-26: unlikely to move again soon; New Stockholm office (2026); partners just moved</t>
        </is>
      </c>
    </row>
    <row r="135">
      <c r="A135" s="122" t="inlineStr">
        <is>
          <t>C</t>
        </is>
      </c>
      <c r="B135" s="122" t="n">
        <v>-1</v>
      </c>
      <c r="C135" s="123" t="inlineStr">
        <is>
          <t>Johanna Wärnberg</t>
        </is>
      </c>
      <c r="D135" s="123" t="inlineStr">
        <is>
          <t>BAHR</t>
        </is>
      </c>
      <c r="E135" s="123" t="inlineStr">
        <is>
          <t>Corporate / M&amp;A; Private equity</t>
        </is>
      </c>
      <c r="F135" s="123" t="inlineStr">
        <is>
          <t>Corporate / M&amp;A: L500: Next Generation Partners | Private equity: CH: Band 4</t>
        </is>
      </c>
      <c r="G135" s="123" t="inlineStr">
        <is>
          <t>Partner</t>
        </is>
      </c>
      <c r="H135" s="122" t="n">
        <v>1</v>
      </c>
      <c r="I135" s="122" t="inlineStr">
        <is>
          <t>Medium</t>
        </is>
      </c>
      <c r="J135" s="123" t="inlineStr">
        <is>
          <t>New Stockholm office (2026); partners just moved</t>
        </is>
      </c>
      <c r="K135" s="123" t="inlineStr">
        <is>
          <t>Mid-career / next-generation: room to lead and build a practice; Moved firm in 2024-26: unlikely to move again soon; Ranked in Corporate / M&amp;A &amp; Private equity; New Stockholm office (2026); partners just moved</t>
        </is>
      </c>
    </row>
    <row r="136">
      <c r="A136" s="122" t="inlineStr">
        <is>
          <t>C</t>
        </is>
      </c>
      <c r="B136" s="122" t="n">
        <v>-1</v>
      </c>
      <c r="C136" s="123" t="inlineStr">
        <is>
          <t>Karl Klackenberg</t>
        </is>
      </c>
      <c r="D136" s="123" t="inlineStr">
        <is>
          <t>BAHR</t>
        </is>
      </c>
      <c r="E136" s="123" t="inlineStr">
        <is>
          <t>Private equity</t>
        </is>
      </c>
      <c r="F136" s="123" t="inlineStr">
        <is>
          <t>Private equity: CH: Up and Coming</t>
        </is>
      </c>
      <c r="G136" s="123" t="n"/>
      <c r="H136" s="122" t="n">
        <v>1</v>
      </c>
      <c r="I136" s="122" t="inlineStr">
        <is>
          <t>Medium</t>
        </is>
      </c>
      <c r="J136" s="123" t="inlineStr">
        <is>
          <t>New Stockholm office (2026); partners just moved</t>
        </is>
      </c>
      <c r="K136" s="123" t="inlineStr">
        <is>
          <t>Mid-career / next-generation: room to lead and build a practice; Moved firm in 2024-26: unlikely to move again soon; New Stockholm office (2026); partners just moved</t>
        </is>
      </c>
    </row>
    <row r="137">
      <c r="A137" s="122" t="inlineStr">
        <is>
          <t>C</t>
        </is>
      </c>
      <c r="B137" s="122" t="n">
        <v>-1</v>
      </c>
      <c r="C137" s="123" t="inlineStr">
        <is>
          <t>Kristoffer Stråth</t>
        </is>
      </c>
      <c r="D137" s="123" t="inlineStr">
        <is>
          <t>BAHR</t>
        </is>
      </c>
      <c r="E137" s="123" t="inlineStr">
        <is>
          <t>Dispute resolution</t>
        </is>
      </c>
      <c r="F137" s="123" t="inlineStr">
        <is>
          <t>Dispute resolution: CH: Band 4</t>
        </is>
      </c>
      <c r="G137" s="123" t="n"/>
      <c r="H137" s="122" t="n">
        <v>4</v>
      </c>
      <c r="I137" s="122" t="inlineStr">
        <is>
          <t>Medium</t>
        </is>
      </c>
      <c r="J137" s="123" t="inlineStr">
        <is>
          <t>New Stockholm office (2026); partners just moved</t>
        </is>
      </c>
      <c r="K137" s="123" t="inlineStr">
        <is>
          <t>Mid-career / next-generation: room to lead and build a practice; Moved firm in 2024-26: unlikely to move again soon; New Stockholm office (2026); partners just moved</t>
        </is>
      </c>
    </row>
    <row r="138">
      <c r="A138" s="122" t="inlineStr">
        <is>
          <t>C</t>
        </is>
      </c>
      <c r="B138" s="122" t="n">
        <v>-1</v>
      </c>
      <c r="C138" s="123" t="inlineStr">
        <is>
          <t>Peter Svanqvist</t>
        </is>
      </c>
      <c r="D138" s="123" t="inlineStr">
        <is>
          <t>BAHR</t>
        </is>
      </c>
      <c r="E138" s="123" t="inlineStr">
        <is>
          <t>Banking &amp; finance</t>
        </is>
      </c>
      <c r="F138" s="123" t="inlineStr">
        <is>
          <t>Banking &amp; finance: CH: Band 4</t>
        </is>
      </c>
      <c r="G138" s="123" t="n"/>
      <c r="H138" s="122" t="n">
        <v>2</v>
      </c>
      <c r="I138" s="122" t="inlineStr">
        <is>
          <t>Medium</t>
        </is>
      </c>
      <c r="J138" s="123" t="inlineStr">
        <is>
          <t>New Stockholm office (2026); partners just moved</t>
        </is>
      </c>
      <c r="K138" s="123" t="inlineStr">
        <is>
          <t>Mid-career / next-generation: room to lead and build a practice; Moved firm in 2024-26: unlikely to move again soon; New Stockholm office (2026); partners just moved</t>
        </is>
      </c>
    </row>
    <row r="139">
      <c r="A139" s="122" t="inlineStr">
        <is>
          <t>C</t>
        </is>
      </c>
      <c r="B139" s="122" t="n">
        <v>-1</v>
      </c>
      <c r="C139" s="123" t="inlineStr">
        <is>
          <t>Harry Bergman</t>
        </is>
      </c>
      <c r="D139" s="123" t="inlineStr">
        <is>
          <t>CMS Wistrand</t>
        </is>
      </c>
      <c r="E139" s="123" t="inlineStr">
        <is>
          <t>Dispute resolution</t>
        </is>
      </c>
      <c r="F139" s="123" t="inlineStr">
        <is>
          <t>Dispute resolution: L500: Leading partners, CH: Band 4</t>
        </is>
      </c>
      <c r="G139" s="123" t="inlineStr">
        <is>
          <t>Partner</t>
        </is>
      </c>
      <c r="H139" s="122" t="n">
        <v>17</v>
      </c>
      <c r="I139" s="122" t="inlineStr">
        <is>
          <t>Medium</t>
        </is>
      </c>
      <c r="J139" s="123" t="inlineStr">
        <is>
          <t>Joined CMS network 2024</t>
        </is>
      </c>
      <c r="K139" s="123" t="n"/>
    </row>
    <row r="140">
      <c r="A140" s="122" t="inlineStr">
        <is>
          <t>C</t>
        </is>
      </c>
      <c r="B140" s="122" t="n">
        <v>-1</v>
      </c>
      <c r="C140" s="123" t="inlineStr">
        <is>
          <t>Jesper Johansson</t>
        </is>
      </c>
      <c r="D140" s="123" t="inlineStr">
        <is>
          <t>Cirio</t>
        </is>
      </c>
      <c r="E140" s="123" t="inlineStr">
        <is>
          <t>Banking &amp; finance</t>
        </is>
      </c>
      <c r="F140" s="123" t="inlineStr">
        <is>
          <t>Banking &amp; finance: L500: Leading partners, CH: Band 3</t>
        </is>
      </c>
      <c r="G140" s="123" t="n"/>
      <c r="H140" s="122" t="n">
        <v>17</v>
      </c>
      <c r="I140" s="122" t="inlineStr">
        <is>
          <t>Medium</t>
        </is>
      </c>
      <c r="J140" s="123" t="inlineStr">
        <is>
          <t>Growing (+15% 2025); net partner gainer</t>
        </is>
      </c>
      <c r="K140" s="123" t="n"/>
    </row>
    <row r="141">
      <c r="A141" s="122" t="inlineStr">
        <is>
          <t>C</t>
        </is>
      </c>
      <c r="B141" s="122" t="n">
        <v>-1</v>
      </c>
      <c r="C141" s="123" t="inlineStr">
        <is>
          <t>Anders Malmström</t>
        </is>
      </c>
      <c r="D141" s="123" t="inlineStr">
        <is>
          <t>DLA Piper</t>
        </is>
      </c>
      <c r="E141" s="123" t="inlineStr">
        <is>
          <t>Corporate / M&amp;A</t>
        </is>
      </c>
      <c r="F141" s="123" t="inlineStr">
        <is>
          <t>Corporate / M&amp;A: L500: Leading partners, CH: Band 5</t>
        </is>
      </c>
      <c r="G141" s="123" t="n"/>
      <c r="H141" s="122" t="n">
        <v>18</v>
      </c>
      <c r="I141" s="122" t="inlineStr">
        <is>
          <t>Medium</t>
        </is>
      </c>
      <c r="J141" s="123" t="inlineStr">
        <is>
          <t>Revenue -9% FY24/25; net partner gainer</t>
        </is>
      </c>
      <c r="K141" s="123" t="n"/>
    </row>
    <row r="142">
      <c r="A142" s="122" t="inlineStr">
        <is>
          <t>C</t>
        </is>
      </c>
      <c r="B142" s="122" t="n">
        <v>-1</v>
      </c>
      <c r="C142" s="123" t="inlineStr">
        <is>
          <t>Fredrik Palm</t>
        </is>
      </c>
      <c r="D142" s="123" t="inlineStr">
        <is>
          <t>Gernandt &amp; Danielsson</t>
        </is>
      </c>
      <c r="E142" s="123" t="inlineStr">
        <is>
          <t>Corporate / M&amp;A</t>
        </is>
      </c>
      <c r="F142" s="123" t="inlineStr">
        <is>
          <t>Corporate / M&amp;A: CH: Band 3</t>
        </is>
      </c>
      <c r="G142" s="123" t="n"/>
      <c r="H142" s="122" t="n">
        <v>15</v>
      </c>
      <c r="I142" s="122" t="inlineStr">
        <is>
          <t>High</t>
        </is>
      </c>
      <c r="J142" s="123" t="inlineStr">
        <is>
          <t>Net partner gainer (team lifts 2024-26)</t>
        </is>
      </c>
      <c r="K142" s="123" t="inlineStr">
        <is>
          <t>Mid-career / next-generation: room to lead and build a practice; Likely pay cut vs current profit share: needs equity / upside story</t>
        </is>
      </c>
    </row>
    <row r="143">
      <c r="A143" s="122" t="inlineStr">
        <is>
          <t>C</t>
        </is>
      </c>
      <c r="B143" s="122" t="n">
        <v>-1</v>
      </c>
      <c r="C143" s="123" t="inlineStr">
        <is>
          <t>Pontus Ewerlöf</t>
        </is>
      </c>
      <c r="D143" s="123" t="inlineStr">
        <is>
          <t>Gernandt &amp; Danielsson</t>
        </is>
      </c>
      <c r="E143" s="123" t="inlineStr">
        <is>
          <t>Dispute resolution</t>
        </is>
      </c>
      <c r="F143" s="123" t="inlineStr">
        <is>
          <t>Dispute resolution: CH: Band 3</t>
        </is>
      </c>
      <c r="G143" s="123" t="n"/>
      <c r="H143" s="122" t="n">
        <v>11</v>
      </c>
      <c r="I143" s="122" t="inlineStr">
        <is>
          <t>High</t>
        </is>
      </c>
      <c r="J143" s="123" t="inlineStr">
        <is>
          <t>Net partner gainer (team lifts 2024-26)</t>
        </is>
      </c>
      <c r="K143" s="123" t="inlineStr">
        <is>
          <t>Mid-career / next-generation: room to lead and build a practice; Likely pay cut vs current profit share: needs equity / upside story; Moved firm in 2024-26: unlikely to move again soon</t>
        </is>
      </c>
    </row>
    <row r="144">
      <c r="A144" s="122" t="inlineStr">
        <is>
          <t>C</t>
        </is>
      </c>
      <c r="B144" s="122" t="n">
        <v>-1</v>
      </c>
      <c r="C144" s="123" t="inlineStr">
        <is>
          <t>Ola Åhman</t>
        </is>
      </c>
      <c r="D144" s="123" t="inlineStr">
        <is>
          <t>Hammarskiöld</t>
        </is>
      </c>
      <c r="E144" s="123" t="inlineStr">
        <is>
          <t>Corporate / M&amp;A</t>
        </is>
      </c>
      <c r="F144" s="123" t="inlineStr">
        <is>
          <t>Corporate / M&amp;A: L500: Hall of Fame, CH: Band 5</t>
        </is>
      </c>
      <c r="G144" s="123" t="inlineStr">
        <is>
          <t>Partner</t>
        </is>
      </c>
      <c r="H144" s="122" t="n">
        <v>20</v>
      </c>
      <c r="I144" s="122" t="inlineStr">
        <is>
          <t>Medium</t>
        </is>
      </c>
      <c r="J144" s="123" t="n"/>
      <c r="K144" s="123" t="inlineStr">
        <is>
          <t>Senior market leader: hard to move; possible senior adviser / team anchor; Has moved firm before (2020-24)</t>
        </is>
      </c>
    </row>
    <row r="145">
      <c r="A145" s="122" t="inlineStr">
        <is>
          <t>C</t>
        </is>
      </c>
      <c r="B145" s="122" t="n">
        <v>-1</v>
      </c>
      <c r="C145" s="123" t="inlineStr">
        <is>
          <t>Andreas Zettergren</t>
        </is>
      </c>
      <c r="D145" s="123" t="inlineStr">
        <is>
          <t>Mannheimer Swartling</t>
        </is>
      </c>
      <c r="E145" s="123" t="inlineStr">
        <is>
          <t>Banking &amp; finance</t>
        </is>
      </c>
      <c r="F145" s="123" t="inlineStr">
        <is>
          <t>Banking &amp; finance: L500: Leading partners, CH: Band 2</t>
        </is>
      </c>
      <c r="G145" s="123" t="n"/>
      <c r="H145" s="122" t="n">
        <v>10</v>
      </c>
      <c r="I145" s="122" t="inlineStr">
        <is>
          <t>High</t>
        </is>
      </c>
      <c r="J145" s="123" t="inlineStr">
        <is>
          <t>Lockstep: profit pool ~SEK 8.7m/partner; 2 partner exits since 2024</t>
        </is>
      </c>
      <c r="K145" s="123" t="inlineStr">
        <is>
          <t>Likely pay cut vs current profit share: needs equity / upside story</t>
        </is>
      </c>
    </row>
    <row r="146">
      <c r="A146" s="122" t="inlineStr">
        <is>
          <t>C</t>
        </is>
      </c>
      <c r="B146" s="122" t="n">
        <v>-1</v>
      </c>
      <c r="C146" s="123" t="inlineStr">
        <is>
          <t>Fredrik Andretzky</t>
        </is>
      </c>
      <c r="D146" s="123" t="inlineStr">
        <is>
          <t>Mannheimer Swartling</t>
        </is>
      </c>
      <c r="E146" s="123" t="inlineStr">
        <is>
          <t>Corporate / M&amp;A</t>
        </is>
      </c>
      <c r="F146" s="123" t="inlineStr">
        <is>
          <t>Corporate / M&amp;A: CH: Band 4</t>
        </is>
      </c>
      <c r="G146" s="123" t="n"/>
      <c r="H146" s="122" t="n">
        <v>20</v>
      </c>
      <c r="I146" s="122" t="inlineStr">
        <is>
          <t>High</t>
        </is>
      </c>
      <c r="J146" s="123" t="inlineStr">
        <is>
          <t>Lockstep: profit pool ~SEK 8.7m/partner; 2 partner exits since 2024</t>
        </is>
      </c>
      <c r="K146" s="123" t="inlineStr">
        <is>
          <t>Mid-career / next-generation: room to lead and build a practice; Likely pay cut vs current profit share: needs equity / upside story</t>
        </is>
      </c>
    </row>
    <row r="147">
      <c r="A147" s="122" t="inlineStr">
        <is>
          <t>C</t>
        </is>
      </c>
      <c r="B147" s="122" t="n">
        <v>-1</v>
      </c>
      <c r="C147" s="123" t="inlineStr">
        <is>
          <t>Patrik Marcelius</t>
        </is>
      </c>
      <c r="D147" s="123" t="inlineStr">
        <is>
          <t>Mannheimer Swartling</t>
        </is>
      </c>
      <c r="E147" s="123" t="inlineStr">
        <is>
          <t>Corporate / M&amp;A</t>
        </is>
      </c>
      <c r="F147" s="123" t="inlineStr">
        <is>
          <t>Corporate / M&amp;A: CH: Band 3</t>
        </is>
      </c>
      <c r="G147" s="123" t="n"/>
      <c r="H147" s="122" t="n">
        <v>15</v>
      </c>
      <c r="I147" s="122" t="inlineStr">
        <is>
          <t>High</t>
        </is>
      </c>
      <c r="J147" s="123" t="inlineStr">
        <is>
          <t>Lockstep: profit pool ~SEK 8.7m/partner; 2 partner exits since 2024</t>
        </is>
      </c>
      <c r="K147" s="123" t="inlineStr">
        <is>
          <t>Mid-career / next-generation: room to lead and build a practice; Likely pay cut vs current profit share: needs equity / upside story</t>
        </is>
      </c>
    </row>
    <row r="148">
      <c r="A148" s="122" t="inlineStr">
        <is>
          <t>C</t>
        </is>
      </c>
      <c r="B148" s="122" t="n">
        <v>-1</v>
      </c>
      <c r="C148" s="123" t="inlineStr">
        <is>
          <t>Zoran Stambolovski</t>
        </is>
      </c>
      <c r="D148" s="123" t="inlineStr">
        <is>
          <t>Mannheimer Swartling</t>
        </is>
      </c>
      <c r="E148" s="123" t="inlineStr">
        <is>
          <t>Banking &amp; finance</t>
        </is>
      </c>
      <c r="F148" s="123" t="inlineStr">
        <is>
          <t>Banking &amp; finance: L500: Leading partners, CH: Band 3</t>
        </is>
      </c>
      <c r="G148" s="123" t="n"/>
      <c r="H148" s="122" t="n">
        <v>13</v>
      </c>
      <c r="I148" s="122" t="inlineStr">
        <is>
          <t>High</t>
        </is>
      </c>
      <c r="J148" s="123" t="inlineStr">
        <is>
          <t>Lockstep: profit pool ~SEK 8.7m/partner; 2 partner exits since 2024</t>
        </is>
      </c>
      <c r="K148" s="123" t="inlineStr">
        <is>
          <t>Likely pay cut vs current profit share: needs equity / upside story</t>
        </is>
      </c>
    </row>
    <row r="149">
      <c r="A149" s="122" t="inlineStr">
        <is>
          <t>C</t>
        </is>
      </c>
      <c r="B149" s="122" t="n">
        <v>-1</v>
      </c>
      <c r="C149" s="123" t="inlineStr">
        <is>
          <t>James Hope</t>
        </is>
      </c>
      <c r="D149" s="123" t="inlineStr">
        <is>
          <t>Vinge</t>
        </is>
      </c>
      <c r="E149" s="123" t="inlineStr">
        <is>
          <t>Dispute resolution</t>
        </is>
      </c>
      <c r="F149" s="123" t="inlineStr">
        <is>
          <t>Dispute resolution: CH: Band 2</t>
        </is>
      </c>
      <c r="G149" s="123" t="n"/>
      <c r="H149" s="122" t="n">
        <v>13</v>
      </c>
      <c r="I149" s="122" t="inlineStr">
        <is>
          <t>High</t>
        </is>
      </c>
      <c r="J149" s="123" t="inlineStr">
        <is>
          <t>Profit pool ~SEK 7m/partner; individual-contribution model</t>
        </is>
      </c>
      <c r="K149" s="123" t="inlineStr">
        <is>
          <t>Likely pay cut vs current profit share: needs equity / upside story</t>
        </is>
      </c>
    </row>
    <row r="150">
      <c r="A150" s="122" t="inlineStr">
        <is>
          <t>C</t>
        </is>
      </c>
      <c r="B150" s="122" t="n">
        <v>-1</v>
      </c>
      <c r="C150" s="123" t="inlineStr">
        <is>
          <t>Jonas Bergström</t>
        </is>
      </c>
      <c r="D150" s="123" t="inlineStr">
        <is>
          <t>Vinge</t>
        </is>
      </c>
      <c r="E150" s="123" t="inlineStr">
        <is>
          <t>Corporate / M&amp;A; Private equity</t>
        </is>
      </c>
      <c r="F150" s="123" t="inlineStr">
        <is>
          <t>Corporate / M&amp;A: CH: Band 2 | Private equity: CH: Band 2</t>
        </is>
      </c>
      <c r="G150" s="123" t="n"/>
      <c r="H150" s="122" t="n">
        <v>10</v>
      </c>
      <c r="I150" s="122" t="inlineStr">
        <is>
          <t>High</t>
        </is>
      </c>
      <c r="J150" s="123" t="inlineStr">
        <is>
          <t>Profit pool ~SEK 7m/partner; individual-contribution model</t>
        </is>
      </c>
      <c r="K150" s="123" t="inlineStr">
        <is>
          <t>Likely pay cut vs current profit share: needs equity / upside story; Ranked in Corporate / M&amp;A &amp; Private equity</t>
        </is>
      </c>
    </row>
    <row r="151">
      <c r="A151" s="122" t="inlineStr">
        <is>
          <t>C</t>
        </is>
      </c>
      <c r="B151" s="122" t="n">
        <v>-1</v>
      </c>
      <c r="C151" s="123" t="inlineStr">
        <is>
          <t>Mattias Rosengren</t>
        </is>
      </c>
      <c r="D151" s="123" t="inlineStr">
        <is>
          <t>Vinge</t>
        </is>
      </c>
      <c r="E151" s="123" t="inlineStr">
        <is>
          <t>Dispute resolution</t>
        </is>
      </c>
      <c r="F151" s="123" t="inlineStr">
        <is>
          <t>Dispute resolution: CH: Band 2</t>
        </is>
      </c>
      <c r="G151" s="123" t="n"/>
      <c r="H151" s="122" t="n">
        <v>12</v>
      </c>
      <c r="I151" s="122" t="inlineStr">
        <is>
          <t>High</t>
        </is>
      </c>
      <c r="J151" s="123" t="inlineStr">
        <is>
          <t>Profit pool ~SEK 7m/partner; individual-contribution model</t>
        </is>
      </c>
      <c r="K151" s="123" t="inlineStr">
        <is>
          <t>Likely pay cut vs current profit share: needs equity / upside story</t>
        </is>
      </c>
    </row>
    <row r="152">
      <c r="A152" s="122" t="inlineStr">
        <is>
          <t>C</t>
        </is>
      </c>
      <c r="B152" s="122" t="n">
        <v>-1</v>
      </c>
      <c r="C152" s="123" t="inlineStr">
        <is>
          <t>Mikael Ståhl</t>
        </is>
      </c>
      <c r="D152" s="123" t="inlineStr">
        <is>
          <t>Vinge</t>
        </is>
      </c>
      <c r="E152" s="123" t="inlineStr">
        <is>
          <t>Banking &amp; finance</t>
        </is>
      </c>
      <c r="F152" s="123" t="inlineStr">
        <is>
          <t>Banking &amp; finance: CH: Band 3</t>
        </is>
      </c>
      <c r="G152" s="123" t="n"/>
      <c r="H152" s="122" t="n">
        <v>20</v>
      </c>
      <c r="I152" s="122" t="inlineStr">
        <is>
          <t>High</t>
        </is>
      </c>
      <c r="J152" s="123" t="inlineStr">
        <is>
          <t>Profit pool ~SEK 7m/partner; individual-contribution model</t>
        </is>
      </c>
      <c r="K152" s="123" t="inlineStr">
        <is>
          <t>Mid-career / next-generation: room to lead and build a practice; Likely pay cut vs current profit share: needs equity / upside story</t>
        </is>
      </c>
    </row>
    <row r="153">
      <c r="A153" s="122" t="inlineStr">
        <is>
          <t>C</t>
        </is>
      </c>
      <c r="B153" s="122" t="n">
        <v>-1</v>
      </c>
      <c r="C153" s="123" t="inlineStr">
        <is>
          <t>Martin Wallin</t>
        </is>
      </c>
      <c r="D153" s="123" t="inlineStr">
        <is>
          <t>Wallin &amp; Partners</t>
        </is>
      </c>
      <c r="E153" s="123" t="inlineStr">
        <is>
          <t>Dispute resolution</t>
        </is>
      </c>
      <c r="F153" s="123" t="inlineStr">
        <is>
          <t>Dispute resolution: L500: Hall of Fame, CH: Band 2</t>
        </is>
      </c>
      <c r="G153" s="123" t="n"/>
      <c r="H153" s="122" t="n">
        <v>20</v>
      </c>
      <c r="I153" s="122" t="inlineStr">
        <is>
          <t>Lower</t>
        </is>
      </c>
      <c r="J153" s="123" t="n"/>
      <c r="K153" s="123" t="inlineStr">
        <is>
          <t>Senior market leader: hard to move; possible senior adviser / team anchor</t>
        </is>
      </c>
    </row>
    <row r="154">
      <c r="A154" s="122" t="inlineStr">
        <is>
          <t>C</t>
        </is>
      </c>
      <c r="B154" s="122" t="n">
        <v>-1</v>
      </c>
      <c r="C154" s="123" t="inlineStr">
        <is>
          <t>Oscar Liljeson</t>
        </is>
      </c>
      <c r="D154" s="123" t="inlineStr">
        <is>
          <t>White &amp; Case</t>
        </is>
      </c>
      <c r="E154" s="123" t="inlineStr">
        <is>
          <t>Banking &amp; finance</t>
        </is>
      </c>
      <c r="F154" s="123" t="inlineStr">
        <is>
          <t>Banking &amp; finance: L500: Leading partners, CH: Band 2</t>
        </is>
      </c>
      <c r="G154" s="123" t="inlineStr">
        <is>
          <t>Partner</t>
        </is>
      </c>
      <c r="H154" s="122" t="n">
        <v>13</v>
      </c>
      <c r="I154" s="122" t="inlineStr">
        <is>
          <t>High</t>
        </is>
      </c>
      <c r="J154" s="123" t="inlineStr">
        <is>
          <t>Global LLP; ~SEK 69m revenue/partner</t>
        </is>
      </c>
      <c r="K154" s="123" t="inlineStr">
        <is>
          <t>Likely pay cut vs current profit share: needs equity / upside story</t>
        </is>
      </c>
    </row>
    <row r="155">
      <c r="A155" s="122" t="inlineStr">
        <is>
          <t>C</t>
        </is>
      </c>
      <c r="B155" s="122" t="n">
        <v>-2</v>
      </c>
      <c r="C155" s="123" t="inlineStr">
        <is>
          <t>Eric Halvarsson</t>
        </is>
      </c>
      <c r="D155" s="123" t="inlineStr">
        <is>
          <t>BAHR</t>
        </is>
      </c>
      <c r="E155" s="123" t="inlineStr">
        <is>
          <t>Banking &amp; finance</t>
        </is>
      </c>
      <c r="F155" s="123" t="inlineStr">
        <is>
          <t>Banking &amp; finance: CH: Band 4</t>
        </is>
      </c>
      <c r="G155" s="123" t="n"/>
      <c r="H155" s="122" t="n">
        <v>12</v>
      </c>
      <c r="I155" s="122" t="inlineStr">
        <is>
          <t>Medium</t>
        </is>
      </c>
      <c r="J155" s="123" t="inlineStr">
        <is>
          <t>New Stockholm office (2026); partners just moved</t>
        </is>
      </c>
      <c r="K155" s="123" t="inlineStr">
        <is>
          <t>Mid-career / next-generation: room to lead and build a practice; Moved firm in 2024-26: unlikely to move again soon; New Stockholm office (2026); partners just moved</t>
        </is>
      </c>
    </row>
    <row r="156">
      <c r="A156" s="122" t="inlineStr">
        <is>
          <t>C</t>
        </is>
      </c>
      <c r="B156" s="122" t="n">
        <v>-2</v>
      </c>
      <c r="C156" s="123" t="inlineStr">
        <is>
          <t>Tom Wehtje</t>
        </is>
      </c>
      <c r="D156" s="123" t="inlineStr">
        <is>
          <t>BAHR</t>
        </is>
      </c>
      <c r="E156" s="123" t="inlineStr">
        <is>
          <t>Corporate / M&amp;A</t>
        </is>
      </c>
      <c r="F156" s="123" t="inlineStr">
        <is>
          <t>Corporate / M&amp;A: CH: Band 4</t>
        </is>
      </c>
      <c r="G156" s="123" t="inlineStr">
        <is>
          <t>Department head</t>
        </is>
      </c>
      <c r="H156" s="122" t="n">
        <v>13</v>
      </c>
      <c r="I156" s="122" t="inlineStr">
        <is>
          <t>Medium</t>
        </is>
      </c>
      <c r="J156" s="123" t="inlineStr">
        <is>
          <t>New Stockholm office (2026); partners just moved</t>
        </is>
      </c>
      <c r="K156" s="123" t="inlineStr">
        <is>
          <t>Mid-career / next-generation: room to lead and build a practice; Moved firm in 2024-26: unlikely to move again soon; New Stockholm office (2026); partners just moved</t>
        </is>
      </c>
    </row>
    <row r="157">
      <c r="A157" s="122" t="inlineStr">
        <is>
          <t>C</t>
        </is>
      </c>
      <c r="B157" s="122" t="n">
        <v>-2</v>
      </c>
      <c r="C157" s="123" t="inlineStr">
        <is>
          <t>Carl Westerberg</t>
        </is>
      </c>
      <c r="D157" s="123" t="inlineStr">
        <is>
          <t>Gernandt &amp; Danielsson</t>
        </is>
      </c>
      <c r="E157" s="123" t="inlineStr">
        <is>
          <t>Corporate / M&amp;A; Private equity</t>
        </is>
      </c>
      <c r="F157" s="123" t="inlineStr">
        <is>
          <t>Corporate / M&amp;A: L500: Leading partners, CH: Band 2 | Private equity: CH: Band 2</t>
        </is>
      </c>
      <c r="G157" s="123" t="inlineStr">
        <is>
          <t>Partner</t>
        </is>
      </c>
      <c r="H157" s="122" t="n">
        <v>15</v>
      </c>
      <c r="I157" s="122" t="inlineStr">
        <is>
          <t>High</t>
        </is>
      </c>
      <c r="J157" s="123" t="inlineStr">
        <is>
          <t>Net partner gainer (team lifts 2024-26)</t>
        </is>
      </c>
      <c r="K157" s="123" t="inlineStr">
        <is>
          <t>Likely pay cut vs current profit share: needs equity / upside story; Ranked in Corporate / M&amp;A &amp; Private equity</t>
        </is>
      </c>
    </row>
    <row r="158">
      <c r="A158" s="122" t="inlineStr">
        <is>
          <t>C</t>
        </is>
      </c>
      <c r="B158" s="122" t="n">
        <v>-2</v>
      </c>
      <c r="C158" s="123" t="inlineStr">
        <is>
          <t>Niclas Rockborn</t>
        </is>
      </c>
      <c r="D158" s="123" t="inlineStr">
        <is>
          <t>Gernandt &amp; Danielsson</t>
        </is>
      </c>
      <c r="E158" s="123" t="inlineStr">
        <is>
          <t>Banking &amp; finance</t>
        </is>
      </c>
      <c r="F158" s="123" t="inlineStr">
        <is>
          <t>Banking &amp; finance: L500: Leading partners</t>
        </is>
      </c>
      <c r="G158" s="123" t="inlineStr">
        <is>
          <t>Partner</t>
        </is>
      </c>
      <c r="H158" s="122" t="n">
        <v>20</v>
      </c>
      <c r="I158" s="122" t="inlineStr">
        <is>
          <t>High</t>
        </is>
      </c>
      <c r="J158" s="123" t="inlineStr">
        <is>
          <t>Net partner gainer (team lifts 2024-26)</t>
        </is>
      </c>
      <c r="K158" s="123" t="inlineStr">
        <is>
          <t>Likely pay cut vs current profit share: needs equity / upside story</t>
        </is>
      </c>
    </row>
    <row r="159">
      <c r="A159" s="122" t="inlineStr">
        <is>
          <t>C</t>
        </is>
      </c>
      <c r="B159" s="122" t="n">
        <v>-2</v>
      </c>
      <c r="C159" s="123" t="inlineStr">
        <is>
          <t>Kristoffer Löf</t>
        </is>
      </c>
      <c r="D159" s="123" t="inlineStr">
        <is>
          <t>Mannheimer Swartling</t>
        </is>
      </c>
      <c r="E159" s="123" t="inlineStr">
        <is>
          <t>Dispute resolution</t>
        </is>
      </c>
      <c r="F159" s="123" t="inlineStr">
        <is>
          <t>Dispute resolution: L500: Leading partners, CH: Band 1</t>
        </is>
      </c>
      <c r="G159" s="123" t="n"/>
      <c r="H159" s="122" t="n">
        <v>13</v>
      </c>
      <c r="I159" s="122" t="inlineStr">
        <is>
          <t>High</t>
        </is>
      </c>
      <c r="J159" s="123" t="inlineStr">
        <is>
          <t>Lockstep: profit pool ~SEK 8.7m/partner; 2 partner exits since 2024</t>
        </is>
      </c>
      <c r="K159" s="123" t="inlineStr">
        <is>
          <t>Senior market leader: hard to move; possible senior adviser / team anchor; Likely pay cut vs current profit share: needs equity / upside story</t>
        </is>
      </c>
    </row>
    <row r="160">
      <c r="A160" s="122" t="inlineStr">
        <is>
          <t>C</t>
        </is>
      </c>
      <c r="B160" s="122" t="n">
        <v>-2</v>
      </c>
      <c r="C160" s="123" t="inlineStr">
        <is>
          <t>Martin Pekkari</t>
        </is>
      </c>
      <c r="D160" s="123" t="inlineStr">
        <is>
          <t>Mannheimer Swartling</t>
        </is>
      </c>
      <c r="E160" s="123" t="inlineStr">
        <is>
          <t>Corporate / M&amp;A</t>
        </is>
      </c>
      <c r="F160" s="123" t="inlineStr">
        <is>
          <t>Corporate / M&amp;A: L500: Leading partners</t>
        </is>
      </c>
      <c r="G160" s="123" t="n"/>
      <c r="H160" s="122" t="n">
        <v>20</v>
      </c>
      <c r="I160" s="122" t="inlineStr">
        <is>
          <t>High</t>
        </is>
      </c>
      <c r="J160" s="123" t="inlineStr">
        <is>
          <t>Lockstep: profit pool ~SEK 8.7m/partner; 2 partner exits since 2024</t>
        </is>
      </c>
      <c r="K160" s="123" t="inlineStr">
        <is>
          <t>Likely pay cut vs current profit share: needs equity / upside story</t>
        </is>
      </c>
    </row>
    <row r="161">
      <c r="A161" s="122" t="inlineStr">
        <is>
          <t>C</t>
        </is>
      </c>
      <c r="B161" s="122" t="n">
        <v>-2</v>
      </c>
      <c r="C161" s="123" t="inlineStr">
        <is>
          <t>Svante Hultqvist</t>
        </is>
      </c>
      <c r="D161" s="123" t="inlineStr">
        <is>
          <t>RE:FI STHLM</t>
        </is>
      </c>
      <c r="E161" s="123" t="inlineStr">
        <is>
          <t>Banking &amp; finance</t>
        </is>
      </c>
      <c r="F161" s="123" t="inlineStr">
        <is>
          <t>Banking &amp; finance: CH: Senior Statespeople</t>
        </is>
      </c>
      <c r="G161" s="123" t="n"/>
      <c r="H161" s="122" t="n">
        <v>20</v>
      </c>
      <c r="I161" s="122" t="inlineStr">
        <is>
          <t>Lower</t>
        </is>
      </c>
      <c r="J161" s="123" t="inlineStr">
        <is>
          <t>Boutique founded 2024 (ex-Cederquist)</t>
        </is>
      </c>
      <c r="K161" s="123" t="inlineStr">
        <is>
          <t>Senior market leader: hard to move; possible senior adviser / team anchor</t>
        </is>
      </c>
    </row>
    <row r="162">
      <c r="A162" s="122" t="inlineStr">
        <is>
          <t>C</t>
        </is>
      </c>
      <c r="B162" s="122" t="n">
        <v>-2</v>
      </c>
      <c r="C162" s="123" t="inlineStr">
        <is>
          <t>Jens Bengtsson</t>
        </is>
      </c>
      <c r="D162" s="123" t="inlineStr">
        <is>
          <t>Roschier</t>
        </is>
      </c>
      <c r="E162" s="123" t="inlineStr">
        <is>
          <t>Corporate / M&amp;A; Private equity</t>
        </is>
      </c>
      <c r="F162" s="123" t="inlineStr">
        <is>
          <t>Corporate / M&amp;A: L500: Leading partners, CH: Band 2 | Private equity: CH: Band 1</t>
        </is>
      </c>
      <c r="G162" s="123" t="inlineStr">
        <is>
          <t>Department head</t>
        </is>
      </c>
      <c r="H162" s="122" t="n">
        <v>20</v>
      </c>
      <c r="I162" s="122" t="inlineStr">
        <is>
          <t>High</t>
        </is>
      </c>
      <c r="J162" s="123" t="inlineStr">
        <is>
          <t>3 partner exits 2020-26</t>
        </is>
      </c>
      <c r="K162" s="123" t="inlineStr">
        <is>
          <t>3 partner exits 2020-26; Senior market leader: hard to move; possible senior adviser / team anchor; Likely pay cut vs current profit share: needs equity / upside story; Ranked in Corporate / M&amp;A &amp; Private equity</t>
        </is>
      </c>
    </row>
    <row r="163">
      <c r="A163" s="122" t="inlineStr">
        <is>
          <t>C</t>
        </is>
      </c>
      <c r="B163" s="122" t="n">
        <v>-2</v>
      </c>
      <c r="C163" s="123" t="inlineStr">
        <is>
          <t>Johan Sidklev</t>
        </is>
      </c>
      <c r="D163" s="123" t="inlineStr">
        <is>
          <t>Roschier</t>
        </is>
      </c>
      <c r="E163" s="123" t="inlineStr">
        <is>
          <t>Dispute resolution</t>
        </is>
      </c>
      <c r="F163" s="123" t="inlineStr">
        <is>
          <t>Dispute resolution: L500: Leading partners, CH: Band 1</t>
        </is>
      </c>
      <c r="G163" s="123" t="inlineStr">
        <is>
          <t>Department head</t>
        </is>
      </c>
      <c r="H163" s="122" t="n">
        <v>20</v>
      </c>
      <c r="I163" s="122" t="inlineStr">
        <is>
          <t>High</t>
        </is>
      </c>
      <c r="J163" s="123" t="inlineStr">
        <is>
          <t>3 partner exits 2020-26</t>
        </is>
      </c>
      <c r="K163" s="123" t="inlineStr">
        <is>
          <t>3 partner exits 2020-26; Senior market leader: hard to move; possible senior adviser / team anchor; Likely pay cut vs current profit share: needs equity / upside story</t>
        </is>
      </c>
    </row>
    <row r="164">
      <c r="A164" s="122" t="inlineStr">
        <is>
          <t>C</t>
        </is>
      </c>
      <c r="B164" s="122" t="n">
        <v>-2</v>
      </c>
      <c r="C164" s="123" t="inlineStr">
        <is>
          <t>Malin Leffler</t>
        </is>
      </c>
      <c r="D164" s="123" t="inlineStr">
        <is>
          <t>Roschier</t>
        </is>
      </c>
      <c r="E164" s="123" t="inlineStr">
        <is>
          <t>Corporate / M&amp;A; Private equity</t>
        </is>
      </c>
      <c r="F164" s="123" t="inlineStr">
        <is>
          <t>Corporate / M&amp;A: L500: Leading partners, CH: Band 1 | Private equity: CH: Band 2</t>
        </is>
      </c>
      <c r="G164" s="123" t="inlineStr">
        <is>
          <t>Department head</t>
        </is>
      </c>
      <c r="H164" s="122" t="n">
        <v>20</v>
      </c>
      <c r="I164" s="122" t="inlineStr">
        <is>
          <t>High</t>
        </is>
      </c>
      <c r="J164" s="123" t="inlineStr">
        <is>
          <t>3 partner exits 2020-26</t>
        </is>
      </c>
      <c r="K164" s="123" t="inlineStr">
        <is>
          <t>3 partner exits 2020-26; Senior market leader: hard to move; possible senior adviser / team anchor; Likely pay cut vs current profit share: needs equity / upside story; Ranked in Corporate / M&amp;A &amp; Private equity</t>
        </is>
      </c>
    </row>
    <row r="165">
      <c r="A165" s="122" t="inlineStr">
        <is>
          <t>C</t>
        </is>
      </c>
      <c r="B165" s="122" t="n">
        <v>-2</v>
      </c>
      <c r="C165" s="123" t="inlineStr">
        <is>
          <t>Christina Kokko</t>
        </is>
      </c>
      <c r="D165" s="123" t="inlineStr">
        <is>
          <t>Vinge</t>
        </is>
      </c>
      <c r="E165" s="123" t="inlineStr">
        <is>
          <t>Corporate / M&amp;A; Private equity</t>
        </is>
      </c>
      <c r="F165" s="123" t="inlineStr">
        <is>
          <t>Corporate / M&amp;A: CH: Band 1 | Private equity: CH: Band 1</t>
        </is>
      </c>
      <c r="G165" s="123" t="n"/>
      <c r="H165" s="122" t="n">
        <v>14</v>
      </c>
      <c r="I165" s="122" t="inlineStr">
        <is>
          <t>High</t>
        </is>
      </c>
      <c r="J165" s="123" t="inlineStr">
        <is>
          <t>Profit pool ~SEK 7m/partner; individual-contribution model</t>
        </is>
      </c>
      <c r="K165" s="123" t="inlineStr">
        <is>
          <t>Senior market leader: hard to move; possible senior adviser / team anchor; Likely pay cut vs current profit share: needs equity / upside story; Ranked in Corporate / M&amp;A &amp; Private equity</t>
        </is>
      </c>
    </row>
    <row r="166">
      <c r="A166" s="122" t="inlineStr">
        <is>
          <t>C</t>
        </is>
      </c>
      <c r="B166" s="122" t="n">
        <v>-2</v>
      </c>
      <c r="C166" s="123" t="inlineStr">
        <is>
          <t>Johan Winnerblad</t>
        </is>
      </c>
      <c r="D166" s="123" t="inlineStr">
        <is>
          <t>Vinge</t>
        </is>
      </c>
      <c r="E166" s="123" t="inlineStr">
        <is>
          <t>Corporate / M&amp;A; Private equity</t>
        </is>
      </c>
      <c r="F166" s="123" t="inlineStr">
        <is>
          <t>Corporate / M&amp;A: CH: Band 2 | Private equity: CH: Band 3</t>
        </is>
      </c>
      <c r="G166" s="123" t="n"/>
      <c r="H166" s="122" t="n">
        <v>20</v>
      </c>
      <c r="I166" s="122" t="inlineStr">
        <is>
          <t>High</t>
        </is>
      </c>
      <c r="J166" s="123" t="inlineStr">
        <is>
          <t>Profit pool ~SEK 7m/partner; individual-contribution model</t>
        </is>
      </c>
      <c r="K166" s="123" t="inlineStr">
        <is>
          <t>Likely pay cut vs current profit share: needs equity / upside story; Ranked in Corporate / M&amp;A &amp; Private equity</t>
        </is>
      </c>
    </row>
    <row r="167">
      <c r="A167" s="122" t="inlineStr">
        <is>
          <t>C</t>
        </is>
      </c>
      <c r="B167" s="122" t="n">
        <v>-3</v>
      </c>
      <c r="C167" s="123" t="inlineStr">
        <is>
          <t>Ola Hansson</t>
        </is>
      </c>
      <c r="D167" s="123" t="inlineStr">
        <is>
          <t>BAHR</t>
        </is>
      </c>
      <c r="E167" s="123" t="inlineStr">
        <is>
          <t>Dispute resolution</t>
        </is>
      </c>
      <c r="F167" s="123" t="inlineStr">
        <is>
          <t>Dispute resolution: CH: Band 3</t>
        </is>
      </c>
      <c r="G167" s="123" t="n"/>
      <c r="H167" s="122" t="n">
        <v>20</v>
      </c>
      <c r="I167" s="122" t="inlineStr">
        <is>
          <t>Medium</t>
        </is>
      </c>
      <c r="J167" s="123" t="inlineStr">
        <is>
          <t>New Stockholm office (2026); partners just moved</t>
        </is>
      </c>
      <c r="K167" s="123" t="inlineStr">
        <is>
          <t>Mid-career / next-generation: room to lead and build a practice; Moved firm in 2024-26: unlikely to move again soon; New Stockholm office (2026); partners just moved</t>
        </is>
      </c>
    </row>
    <row r="168">
      <c r="A168" s="122" t="inlineStr">
        <is>
          <t>C</t>
        </is>
      </c>
      <c r="B168" s="122" t="n">
        <v>-3</v>
      </c>
      <c r="C168" s="123" t="inlineStr">
        <is>
          <t>Adam Green</t>
        </is>
      </c>
      <c r="D168" s="123" t="inlineStr">
        <is>
          <t>Mannheimer Swartling</t>
        </is>
      </c>
      <c r="E168" s="123" t="inlineStr">
        <is>
          <t>Corporate / M&amp;A</t>
        </is>
      </c>
      <c r="F168" s="123" t="inlineStr">
        <is>
          <t>Corporate / M&amp;A: L500: Hall of Fame, CH: Senior Statespeople</t>
        </is>
      </c>
      <c r="G168" s="123" t="n"/>
      <c r="H168" s="122" t="n">
        <v>12</v>
      </c>
      <c r="I168" s="122" t="inlineStr">
        <is>
          <t>High</t>
        </is>
      </c>
      <c r="J168" s="123" t="inlineStr">
        <is>
          <t>Lockstep: profit pool ~SEK 8.7m/partner; 2 partner exits since 2024</t>
        </is>
      </c>
      <c r="K168" s="123" t="inlineStr">
        <is>
          <t>Senior market leader: hard to move; possible senior adviser / team anchor; Likely pay cut vs current profit share: needs equity / upside story</t>
        </is>
      </c>
    </row>
    <row r="169">
      <c r="A169" s="122" t="inlineStr">
        <is>
          <t>C</t>
        </is>
      </c>
      <c r="B169" s="122" t="n">
        <v>-3</v>
      </c>
      <c r="C169" s="123" t="inlineStr">
        <is>
          <t>Daniel Karlsson</t>
        </is>
      </c>
      <c r="D169" s="123" t="inlineStr">
        <is>
          <t>Mannheimer Swartling</t>
        </is>
      </c>
      <c r="E169" s="123" t="inlineStr">
        <is>
          <t>Banking &amp; finance</t>
        </is>
      </c>
      <c r="F169" s="123" t="inlineStr">
        <is>
          <t>Banking &amp; finance: L500: Leading partners, CH: Band 1</t>
        </is>
      </c>
      <c r="G169" s="123" t="n"/>
      <c r="H169" s="122" t="n">
        <v>17</v>
      </c>
      <c r="I169" s="122" t="inlineStr">
        <is>
          <t>High</t>
        </is>
      </c>
      <c r="J169" s="123" t="inlineStr">
        <is>
          <t>Lockstep: profit pool ~SEK 8.7m/partner; 2 partner exits since 2024</t>
        </is>
      </c>
      <c r="K169" s="123" t="inlineStr">
        <is>
          <t>Senior market leader: hard to move; possible senior adviser / team anchor; Likely pay cut vs current profit share: needs equity / upside story</t>
        </is>
      </c>
    </row>
    <row r="170">
      <c r="A170" s="122" t="inlineStr">
        <is>
          <t>C</t>
        </is>
      </c>
      <c r="B170" s="122" t="n">
        <v>-3</v>
      </c>
      <c r="C170" s="123" t="inlineStr">
        <is>
          <t>Jan Holmius</t>
        </is>
      </c>
      <c r="D170" s="123" t="inlineStr">
        <is>
          <t>Mannheimer Swartling</t>
        </is>
      </c>
      <c r="E170" s="123" t="inlineStr">
        <is>
          <t>Corporate / M&amp;A; Private equity</t>
        </is>
      </c>
      <c r="F170" s="123" t="inlineStr">
        <is>
          <t>Corporate / M&amp;A: L500: Leading partners, CH: Band 1 | Private equity: CH: Band 2</t>
        </is>
      </c>
      <c r="G170" s="123" t="n"/>
      <c r="H170" s="122" t="n">
        <v>20</v>
      </c>
      <c r="I170" s="122" t="inlineStr">
        <is>
          <t>High</t>
        </is>
      </c>
      <c r="J170" s="123" t="inlineStr">
        <is>
          <t>Lockstep: profit pool ~SEK 8.7m/partner; 2 partner exits since 2024</t>
        </is>
      </c>
      <c r="K170" s="123" t="inlineStr">
        <is>
          <t>Senior market leader: hard to move; possible senior adviser / team anchor; Likely pay cut vs current profit share: needs equity / upside story; Ranked in Corporate / M&amp;A &amp; Private equity</t>
        </is>
      </c>
    </row>
    <row r="171">
      <c r="A171" s="122" t="inlineStr">
        <is>
          <t>C</t>
        </is>
      </c>
      <c r="B171" s="122" t="n">
        <v>-3</v>
      </c>
      <c r="C171" s="123" t="inlineStr">
        <is>
          <t>Robin Oldenstam</t>
        </is>
      </c>
      <c r="D171" s="123" t="inlineStr">
        <is>
          <t>Mannheimer Swartling</t>
        </is>
      </c>
      <c r="E171" s="123" t="inlineStr">
        <is>
          <t>Dispute resolution</t>
        </is>
      </c>
      <c r="F171" s="123" t="inlineStr">
        <is>
          <t>Dispute resolution: L500: Hall of Fame, CH: Band 1</t>
        </is>
      </c>
      <c r="G171" s="123" t="n"/>
      <c r="H171" s="122" t="n">
        <v>19</v>
      </c>
      <c r="I171" s="122" t="inlineStr">
        <is>
          <t>High</t>
        </is>
      </c>
      <c r="J171" s="123" t="inlineStr">
        <is>
          <t>Lockstep: profit pool ~SEK 8.7m/partner; 2 partner exits since 2024</t>
        </is>
      </c>
      <c r="K171" s="123" t="inlineStr">
        <is>
          <t>Senior market leader: hard to move; possible senior adviser / team anchor; Likely pay cut vs current profit share: needs equity / upside story</t>
        </is>
      </c>
    </row>
    <row r="172">
      <c r="A172" s="122" t="inlineStr">
        <is>
          <t>C</t>
        </is>
      </c>
      <c r="B172" s="122" t="n">
        <v>-3</v>
      </c>
      <c r="C172" s="123" t="inlineStr">
        <is>
          <t>Louise Brorsson Salomon</t>
        </is>
      </c>
      <c r="D172" s="123" t="inlineStr">
        <is>
          <t>Vinge</t>
        </is>
      </c>
      <c r="E172" s="123" t="inlineStr">
        <is>
          <t>Banking &amp; finance</t>
        </is>
      </c>
      <c r="F172" s="123" t="inlineStr">
        <is>
          <t>Banking &amp; finance: CH: Eminent Practitioners</t>
        </is>
      </c>
      <c r="G172" s="123" t="n"/>
      <c r="H172" s="122" t="n">
        <v>10</v>
      </c>
      <c r="I172" s="122" t="inlineStr">
        <is>
          <t>High</t>
        </is>
      </c>
      <c r="J172" s="123" t="inlineStr">
        <is>
          <t>Profit pool ~SEK 7m/partner; individual-contribution model</t>
        </is>
      </c>
      <c r="K172" s="123" t="inlineStr">
        <is>
          <t>Senior market leader: hard to move; possible senior adviser / team anchor; Likely pay cut vs current profit share: needs equity / upside story</t>
        </is>
      </c>
    </row>
    <row r="173">
      <c r="A173" s="122" t="inlineStr">
        <is>
          <t>C</t>
        </is>
      </c>
      <c r="B173" s="122" t="n">
        <v>-3</v>
      </c>
      <c r="C173" s="123" t="inlineStr">
        <is>
          <t>Anders Reldén</t>
        </is>
      </c>
      <c r="D173" s="123" t="inlineStr">
        <is>
          <t>White &amp; Case</t>
        </is>
      </c>
      <c r="E173" s="123" t="inlineStr">
        <is>
          <t>Dispute resolution</t>
        </is>
      </c>
      <c r="F173" s="123" t="inlineStr">
        <is>
          <t>Dispute resolution: L500: Hall of Fame, CH: Band 1</t>
        </is>
      </c>
      <c r="G173" s="123" t="inlineStr">
        <is>
          <t>Partner</t>
        </is>
      </c>
      <c r="H173" s="122" t="n">
        <v>20</v>
      </c>
      <c r="I173" s="122" t="inlineStr">
        <is>
          <t>High</t>
        </is>
      </c>
      <c r="J173" s="123" t="inlineStr">
        <is>
          <t>Global LLP; ~SEK 69m revenue/partner</t>
        </is>
      </c>
      <c r="K173" s="123" t="inlineStr">
        <is>
          <t>Senior market leader: hard to move; possible senior adviser / team anchor; Likely pay cut vs current profit share: needs equity / upside story</t>
        </is>
      </c>
    </row>
    <row r="174">
      <c r="A174" s="122" t="inlineStr">
        <is>
          <t>C</t>
        </is>
      </c>
      <c r="B174" s="122" t="n">
        <v>-4</v>
      </c>
      <c r="C174" s="123" t="inlineStr">
        <is>
          <t>Björn Tude</t>
        </is>
      </c>
      <c r="D174" s="123" t="inlineStr">
        <is>
          <t>Gernandt &amp; Danielsson</t>
        </is>
      </c>
      <c r="E174" s="123" t="inlineStr">
        <is>
          <t>Dispute resolution</t>
        </is>
      </c>
      <c r="F174" s="123" t="inlineStr">
        <is>
          <t>Dispute resolution: L500: Hall of Fame, CH: Senior Statespeople</t>
        </is>
      </c>
      <c r="G174" s="123" t="inlineStr">
        <is>
          <t>Partner</t>
        </is>
      </c>
      <c r="H174" s="122" t="n">
        <v>20</v>
      </c>
      <c r="I174" s="122" t="inlineStr">
        <is>
          <t>High</t>
        </is>
      </c>
      <c r="J174" s="123" t="inlineStr">
        <is>
          <t>Net partner gainer (team lifts 2024-26)</t>
        </is>
      </c>
      <c r="K174" s="123" t="inlineStr">
        <is>
          <t>Senior market leader: hard to move; possible senior adviser / team anchor; Likely pay cut vs current profit share: needs equity / upside story</t>
        </is>
      </c>
    </row>
    <row r="175">
      <c r="A175" s="122" t="inlineStr">
        <is>
          <t>C</t>
        </is>
      </c>
      <c r="B175" s="122" t="n">
        <v>-4</v>
      </c>
      <c r="C175" s="123" t="inlineStr">
        <is>
          <t>Manfred Löfvenhaft</t>
        </is>
      </c>
      <c r="D175" s="123" t="inlineStr">
        <is>
          <t>Gernandt &amp; Danielsson</t>
        </is>
      </c>
      <c r="E175" s="123" t="inlineStr">
        <is>
          <t>Corporate / M&amp;A</t>
        </is>
      </c>
      <c r="F175" s="123" t="inlineStr">
        <is>
          <t>Corporate / M&amp;A: CH: Eminent Practitioners</t>
        </is>
      </c>
      <c r="G175" s="123" t="n"/>
      <c r="H175" s="122" t="n">
        <v>20</v>
      </c>
      <c r="I175" s="122" t="inlineStr">
        <is>
          <t>High</t>
        </is>
      </c>
      <c r="J175" s="123" t="inlineStr">
        <is>
          <t>Net partner gainer (team lifts 2024-26)</t>
        </is>
      </c>
      <c r="K175" s="123" t="inlineStr">
        <is>
          <t>Senior market leader: hard to move; possible senior adviser / team anchor; Likely pay cut vs current profit share: needs equity / upside story</t>
        </is>
      </c>
    </row>
    <row r="176">
      <c r="A176" s="122" t="inlineStr">
        <is>
          <t>C</t>
        </is>
      </c>
      <c r="B176" s="122" t="n">
        <v>-4</v>
      </c>
      <c r="C176" s="123" t="inlineStr">
        <is>
          <t>André Andersson</t>
        </is>
      </c>
      <c r="D176" s="123" t="inlineStr">
        <is>
          <t>Mannheimer Swartling</t>
        </is>
      </c>
      <c r="E176" s="123" t="inlineStr">
        <is>
          <t>Banking &amp; finance</t>
        </is>
      </c>
      <c r="F176" s="123" t="inlineStr">
        <is>
          <t>Banking &amp; finance: CH: Senior Statespeople</t>
        </is>
      </c>
      <c r="G176" s="123" t="n"/>
      <c r="H176" s="122" t="n">
        <v>20</v>
      </c>
      <c r="I176" s="122" t="inlineStr">
        <is>
          <t>High</t>
        </is>
      </c>
      <c r="J176" s="123" t="inlineStr">
        <is>
          <t>Lockstep: profit pool ~SEK 8.7m/partner; 2 partner exits since 2024</t>
        </is>
      </c>
      <c r="K176" s="123" t="inlineStr">
        <is>
          <t>Senior market leader: hard to move; possible senior adviser / team anchor; Likely pay cut vs current profit share: needs equity / upside story</t>
        </is>
      </c>
    </row>
    <row r="178">
      <c r="A178" s="45" t="inlineStr">
        <is>
          <t>Firm pay level = profit pool / revenue per partner from Sections C and E (High: MSA, Vinge, Setterwalls, Roschier, White &amp; Case, G&amp;D, Linklaters; Lower: Delphi, Lindahl, AGRD firms, smaller independents). MAQS profit pool ~SEK 2m/partner, so High-pay partners would need an equity/upside case.</t>
        </is>
      </c>
    </row>
    <row r="179">
      <c r="A179" s="45" t="inlineStr">
        <is>
          <t>Firm signals from Section F (2020-26 moves). Firm shown is as listed by the directory and may be out of date; verify current firm, title and office (Stockholm vs Göteborg/Malmö: MAQS Malmö vs Keelion Law post-split) before any approach.</t>
        </is>
      </c>
    </row>
    <row r="180">
      <c r="A180" s="45" t="inlineStr">
        <is>
          <t>Next steps: (1) agree target office(s) and practice priorities; (2) validate A/B names via firm websites and LinkedIn; (3) check non-compete / notice terms (Swedish partner agreements often 6-12 months); (4) prioritise team lifts (partner + associates) over individuals.</t>
        </is>
      </c>
    </row>
    <row r="181">
      <c r="A181" s="45" t="inlineStr">
        <is>
          <t>Source data: research/data/top_lawyers_chambers2026_legal500_sweden.json; chambers_lawyer_seniority.json; legal500_lawyer_profiles.json (extracted 13 Oct 2026).</t>
        </is>
      </c>
    </row>
  </sheetData>
  <autoFilter ref="A4:K176"/>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9" customWidth="1" style="112" min="5" max="5"/>
    <col width="10" customWidth="1" style="112" min="6" max="6"/>
    <col width="26" customWidth="1" style="112" min="7" max="7"/>
    <col width="9" customWidth="1" style="112" min="8" max="8"/>
    <col width="10" customWidth="1" style="112" min="9" max="9"/>
    <col width="10" customWidth="1" style="112" min="10" max="10"/>
    <col width="30" customWidth="1" style="112" min="11" max="11"/>
    <col width="10" customWidth="1" style="112" min="12" max="12"/>
    <col width="10" customWidth="1" style="112" min="13" max="13"/>
    <col width="10" customWidth="1" style="112" min="14" max="14"/>
    <col width="12" customWidth="1" style="112" min="15" max="15"/>
    <col width="12" customWidth="1" style="112" min="16" max="16"/>
    <col width="10" customWidth="1" style="112" min="17" max="17"/>
    <col width="40" customWidth="1" style="112" min="18" max="18"/>
  </cols>
  <sheetData>
    <row r="1">
      <c r="A1" s="1" t="inlineStr">
        <is>
          <t>Section C. Benchmarking: top 30 Swedish business law firms (replaces former A. Firms tab)</t>
        </is>
      </c>
    </row>
    <row r="2" ht="45" customHeight="1" s="112">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F).</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row r="47">
      <c r="A47" s="128" t="inlineStr">
        <is>
          <t>C2. Utilisation benchmarks: billable-hour targets and Nordic norms</t>
        </is>
      </c>
    </row>
    <row r="48">
      <c r="A48" s="99" t="inlineStr"/>
      <c r="B48" s="99" t="inlineStr">
        <is>
          <t>Firm / basis</t>
        </is>
      </c>
      <c r="C48" s="99" t="inlineStr">
        <is>
          <t>Metric</t>
        </is>
      </c>
      <c r="D48" s="99" t="inlineStr"/>
      <c r="E48" s="99" t="inlineStr"/>
      <c r="F48" s="99" t="inlineStr">
        <is>
          <t>Value</t>
        </is>
      </c>
      <c r="G48" s="99" t="inlineStr">
        <is>
          <t>Period</t>
        </is>
      </c>
      <c r="H48" s="99" t="inlineStr">
        <is>
          <t>Reliability / source</t>
        </is>
      </c>
    </row>
    <row r="49">
      <c r="B49" s="49" t="inlineStr">
        <is>
          <t>Vinge</t>
        </is>
      </c>
      <c r="C49" s="49" t="inlineStr">
        <is>
          <t>Associate billable-hour target</t>
        </is>
      </c>
      <c r="D49" s="129" t="n"/>
      <c r="E49" s="84" t="n"/>
      <c r="F49" s="49" t="inlineStr">
        <is>
          <t>1,500 h (incl. 100 h qualifying internal)</t>
        </is>
      </c>
      <c r="G49" s="49" t="inlineStr">
        <is>
          <t>c.2012-14</t>
        </is>
      </c>
      <c r="H49" s="49" t="inlineStr">
        <is>
          <t>Indicative: anonymous crowd-sourced table (juristlon.wordpress.com, 2014)</t>
        </is>
      </c>
    </row>
    <row r="50">
      <c r="B50" s="49" t="inlineStr">
        <is>
          <t>Mannheimer Swartling</t>
        </is>
      </c>
      <c r="C50" s="49" t="inlineStr">
        <is>
          <t>Associate billable-hour target</t>
        </is>
      </c>
      <c r="D50" s="129" t="n"/>
      <c r="E50" s="84" t="n"/>
      <c r="F50" s="49" t="inlineStr">
        <is>
          <t>1,500 h (none in year 1)</t>
        </is>
      </c>
      <c r="G50" s="49" t="inlineStr">
        <is>
          <t>c.2012-14</t>
        </is>
      </c>
      <c r="H50" s="49" t="inlineStr">
        <is>
          <t>Indicative: as above</t>
        </is>
      </c>
    </row>
    <row r="51">
      <c r="B51" s="49" t="inlineStr">
        <is>
          <t>Cederquist</t>
        </is>
      </c>
      <c r="C51" s="49" t="inlineStr">
        <is>
          <t>Bonus ladder</t>
        </is>
      </c>
      <c r="D51" s="129" t="n"/>
      <c r="E51" s="84" t="n"/>
      <c r="F51" s="49" t="inlineStr">
        <is>
          <t>0.75 month at 1,500 h up to 4.25 months at 1,800 h</t>
        </is>
      </c>
      <c r="G51" s="49" t="inlineStr">
        <is>
          <t>c.2012-14</t>
        </is>
      </c>
      <c r="H51" s="49" t="inlineStr">
        <is>
          <t>Indicative: as above</t>
        </is>
      </c>
    </row>
    <row r="52">
      <c r="B52" s="49" t="inlineStr">
        <is>
          <t>White &amp; Case (Stockholm)</t>
        </is>
      </c>
      <c r="C52" s="49" t="inlineStr">
        <is>
          <t>Associate billable-hour target</t>
        </is>
      </c>
      <c r="D52" s="129" t="n"/>
      <c r="E52" s="84" t="n"/>
      <c r="F52" s="49" t="inlineStr">
        <is>
          <t>1,700 h</t>
        </is>
      </c>
      <c r="G52" s="49" t="inlineStr">
        <is>
          <t>c.2012-14</t>
        </is>
      </c>
      <c r="H52" s="49" t="inlineStr">
        <is>
          <t>Indicative: as above</t>
        </is>
      </c>
    </row>
    <row r="53">
      <c r="B53" s="49" t="inlineStr">
        <is>
          <t>Lindahl</t>
        </is>
      </c>
      <c r="C53" s="49" t="inlineStr">
        <is>
          <t>Associate billable-hour target</t>
        </is>
      </c>
      <c r="D53" s="129" t="n"/>
      <c r="E53" s="84" t="n"/>
      <c r="F53" s="49" t="inlineStr">
        <is>
          <t>1,350 h (up to 200 h internal); bonus from 1,450 h</t>
        </is>
      </c>
      <c r="G53" s="49" t="inlineStr">
        <is>
          <t>c.2012-14</t>
        </is>
      </c>
      <c r="H53" s="49" t="inlineStr">
        <is>
          <t>Indicative: as above</t>
        </is>
      </c>
    </row>
    <row r="54">
      <c r="B54" s="49" t="inlineStr">
        <is>
          <t>Fylgia</t>
        </is>
      </c>
      <c r="C54" s="49" t="inlineStr">
        <is>
          <t>Target / bonus</t>
        </is>
      </c>
      <c r="D54" s="129" t="n"/>
      <c r="E54" s="84" t="n"/>
      <c r="F54" s="49" t="inlineStr">
        <is>
          <t>1,400 h; bonus at 1,400 / 1,500 h</t>
        </is>
      </c>
      <c r="G54" s="49" t="inlineStr">
        <is>
          <t>c.2012-14</t>
        </is>
      </c>
      <c r="H54" s="49" t="inlineStr">
        <is>
          <t>Indicative: as above</t>
        </is>
      </c>
    </row>
    <row r="55">
      <c r="B55" s="49" t="inlineStr">
        <is>
          <t>Delphi</t>
        </is>
      </c>
      <c r="C55" s="49" t="inlineStr">
        <is>
          <t>Bonus threshold</t>
        </is>
      </c>
      <c r="D55" s="129" t="n"/>
      <c r="E55" s="84" t="n"/>
      <c r="F55" s="49" t="inlineStr">
        <is>
          <t>1,500 h</t>
        </is>
      </c>
      <c r="G55" s="49" t="inlineStr">
        <is>
          <t>c.2012-14</t>
        </is>
      </c>
      <c r="H55" s="49" t="inlineStr">
        <is>
          <t>Indicative: as above</t>
        </is>
      </c>
    </row>
    <row r="56">
      <c r="B56" s="49" t="inlineStr">
        <is>
          <t>Baker McKenzie (Stockholm)</t>
        </is>
      </c>
      <c r="C56" s="49" t="inlineStr">
        <is>
          <t>Bonus threshold</t>
        </is>
      </c>
      <c r="D56" s="129" t="n"/>
      <c r="E56" s="84" t="n"/>
      <c r="F56" s="49" t="inlineStr">
        <is>
          <t>from 1,400 billed h</t>
        </is>
      </c>
      <c r="G56" s="49" t="inlineStr">
        <is>
          <t>c.2012-14</t>
        </is>
      </c>
      <c r="H56" s="49" t="inlineStr">
        <is>
          <t>Indicative: as above</t>
        </is>
      </c>
    </row>
    <row r="57">
      <c r="B57" s="49" t="inlineStr">
        <is>
          <t>Bird &amp; Bird (Stockholm)</t>
        </is>
      </c>
      <c r="C57" s="49" t="inlineStr">
        <is>
          <t>Ramp-up target</t>
        </is>
      </c>
      <c r="D57" s="129" t="n"/>
      <c r="E57" s="84" t="n"/>
      <c r="F57" s="49" t="inlineStr">
        <is>
          <t>1,000 / 1,200 / 1,450 h (years 1 / 2 / 3+)</t>
        </is>
      </c>
      <c r="G57" s="49" t="inlineStr">
        <is>
          <t>2007</t>
        </is>
      </c>
      <c r="H57" s="49" t="inlineStr">
        <is>
          <t>Indicative: as above</t>
        </is>
      </c>
    </row>
    <row r="58">
      <c r="B58" s="49" t="inlineStr">
        <is>
          <t>Swedish business-law firms</t>
        </is>
      </c>
      <c r="C58" s="49" t="inlineStr">
        <is>
          <t>Billable-hour requirement</t>
        </is>
      </c>
      <c r="D58" s="129" t="n"/>
      <c r="E58" s="84" t="n"/>
      <c r="F58" s="49" t="inlineStr">
        <is>
          <t>1,400-1,600 h p.a.</t>
        </is>
      </c>
      <c r="G58" s="49" t="inlineStr">
        <is>
          <t>2018</t>
        </is>
      </c>
      <c r="H58" s="49" t="inlineStr">
        <is>
          <t>Advokaten no. 7 2018 (snippet)</t>
        </is>
      </c>
    </row>
    <row r="59">
      <c r="B59" s="49" t="inlineStr">
        <is>
          <t>Swedish law firms</t>
        </is>
      </c>
      <c r="C59" s="49" t="inlineStr">
        <is>
          <t>Share of worked time billed</t>
        </is>
      </c>
      <c r="D59" s="129" t="n"/>
      <c r="E59" s="84" t="n"/>
      <c r="F59" s="49" t="inlineStr">
        <is>
          <t>40-90%, median just over 70%</t>
        </is>
      </c>
      <c r="G59" s="49" t="inlineStr">
        <is>
          <t>2012</t>
        </is>
      </c>
      <c r="H59" s="49" t="inlineStr">
        <is>
          <t>Advokaten 2012 (snippet)</t>
        </is>
      </c>
    </row>
    <row r="60">
      <c r="B60" s="49" t="inlineStr">
        <is>
          <t>Norwegian law firms</t>
        </is>
      </c>
      <c r="C60" s="49" t="inlineStr">
        <is>
          <t>Billing rate (faktureringsgrad)</t>
        </is>
      </c>
      <c r="D60" s="129" t="n"/>
      <c r="E60" s="84" t="n"/>
      <c r="F60" s="49" t="inlineStr">
        <is>
          <t>just over 72% (~1,220 h on 1,695 h)</t>
        </is>
      </c>
      <c r="G60" s="49" t="inlineStr">
        <is>
          <t>2016</t>
        </is>
      </c>
      <c r="H60" s="49" t="inlineStr">
        <is>
          <t>Advokatforeningen industry survey (memo Sep-2017)</t>
        </is>
      </c>
    </row>
    <row r="61">
      <c r="B61" s="49" t="inlineStr">
        <is>
          <t>Norwegian associates</t>
        </is>
      </c>
      <c r="C61" s="49" t="inlineStr">
        <is>
          <t>Actual vs contracted hours</t>
        </is>
      </c>
      <c r="D61" s="129" t="n"/>
      <c r="E61" s="84" t="n"/>
      <c r="F61" s="49" t="inlineStr">
        <is>
          <t>46 h/week actual (48 h at 50+ lawyer firms) vs 39 h contracted; 27% under-record hours</t>
        </is>
      </c>
      <c r="G61" s="49" t="inlineStr">
        <is>
          <t>Nov-2025</t>
        </is>
      </c>
      <c r="H61" s="49" t="inlineStr">
        <is>
          <t>Juristforbundet survey (n=279)</t>
        </is>
      </c>
    </row>
    <row r="62">
      <c r="B62" s="49" t="inlineStr">
        <is>
          <t>Danish associates / lawyers</t>
        </is>
      </c>
      <c r="C62" s="49" t="inlineStr">
        <is>
          <t>Fixed billable-hour requirement</t>
        </is>
      </c>
      <c r="D62" s="129" t="n"/>
      <c r="E62" s="84" t="n"/>
      <c r="F62" s="49" t="inlineStr">
        <is>
          <t>54% / 55% have one; 47 / 46 h worked per week</t>
        </is>
      </c>
      <c r="G62" s="49" t="inlineStr">
        <is>
          <t>2018</t>
        </is>
      </c>
      <c r="H62" s="49" t="inlineStr">
        <is>
          <t>Djøf Advokat survey</t>
        </is>
      </c>
    </row>
    <row r="63">
      <c r="A63" s="45" t="inlineStr">
        <is>
          <t>Reading: Nordic norm ~1,200-1,300 billable hours (70-75% of a ~1,650-1,700 h year); large business-law firms target ~1,400-1,600 h for associates. No current published targets found for named Nordic firms or for Finland. See the charging rates briefing for international benchmarks (PwC UK, Thomson Reuters).</t>
        </is>
      </c>
    </row>
  </sheetData>
  <mergeCells count="15">
    <mergeCell ref="C54:E54"/>
    <mergeCell ref="C58:E58"/>
    <mergeCell ref="C60:E60"/>
    <mergeCell ref="C50:E50"/>
    <mergeCell ref="C57:E57"/>
    <mergeCell ref="C52:E52"/>
    <mergeCell ref="C55:E55"/>
    <mergeCell ref="A2:R2"/>
    <mergeCell ref="C53:E53"/>
    <mergeCell ref="C61:E61"/>
    <mergeCell ref="C49:E49"/>
    <mergeCell ref="C56:E56"/>
    <mergeCell ref="C59:E59"/>
    <mergeCell ref="C51:E51"/>
    <mergeCell ref="C62:E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Removed: pre-2023 invoices and court claims (2007-2017), US firms, public-sector and legal-aid data (not relevant to a Nordic business-law investment).</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M5:M6"/>
    <mergeCell ref="B5:B6"/>
    <mergeCell ref="C5:C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2026-10-13T10:39:51Z</dcterms:modified>
</cp:coreProperties>
</file>