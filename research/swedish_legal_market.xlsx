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Firms"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C. Benchmarking" sheetId="7" state="visible" r:id="rId7"/>
    <sheet xmlns:r="http://schemas.openxmlformats.org/officeDocument/2006/relationships" name="D. Rate cards" sheetId="8" state="visible" r:id="rId8"/>
    <sheet xmlns:r="http://schemas.openxmlformats.org/officeDocument/2006/relationships" name="E. Partner compensation" sheetId="9" state="visible" r:id="rId9"/>
  </sheets>
  <definedNames>
    <definedName name="_xlnm._FilterDatabase" localSheetId="5" hidden="1">'B. Rankings raw'!$A$1:$E$661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9">
    <font>
      <name val="Calibri"/>
      <family val="2"/>
      <color theme="1"/>
      <sz val="11"/>
      <scheme val="minor"/>
    </font>
    <font>
      <b val="1"/>
      <sz val="14"/>
    </font>
    <font>
      <b val="1"/>
      <color rgb="00FFFFFF"/>
    </font>
    <font>
      <b val="1"/>
      <sz val="8"/>
    </font>
    <font/>
    <font>
      <b val="1"/>
    </font>
    <font>
      <i val="1"/>
      <sz val="9"/>
    </font>
    <font>
      <b val="1"/>
      <sz val="11"/>
    </font>
    <font>
      <b val="1"/>
      <sz val="9"/>
    </font>
  </fonts>
  <fills count="10">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0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min="1" max="1"/>
    <col width="40" customWidth="1" min="2" max="2"/>
    <col width="20" customWidth="1" min="3" max="3"/>
    <col width="24" customWidth="1" min="4" max="4"/>
    <col width="20" customWidth="1"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6" customWidth="1" min="2" max="2"/>
    <col width="13" customWidth="1" min="3" max="3"/>
    <col width="11" customWidth="1" min="4" max="4"/>
    <col width="30" customWidth="1" min="5" max="5"/>
    <col width="9" customWidth="1" min="6" max="6"/>
    <col width="30" customWidth="1" min="7" max="7"/>
    <col width="9" customWidth="1" min="8" max="8"/>
    <col width="11" customWidth="1" min="9" max="9"/>
    <col width="24" customWidth="1" min="10" max="10"/>
    <col width="10" customWidth="1" min="11" max="11"/>
    <col width="10" customWidth="1" min="12" max="12"/>
    <col width="10" customWidth="1" min="13" max="13"/>
    <col width="11" customWidth="1" min="14" max="14"/>
    <col width="40" customWidth="1" min="15" max="15"/>
  </cols>
  <sheetData>
    <row r="1">
      <c r="A1" s="1" t="inlineStr">
        <is>
          <t>A3. Concentration: largest Swedish business law firms ranked by latest revenue</t>
        </is>
      </c>
    </row>
    <row r="2" ht="55" customHeight="1">
      <c r="A2" s="2" t="inlineStr">
        <is>
          <t>Revenue = latest available year per firm (SEK m). Affärsvärlden figures are fee income; company accounts (AB) are net sales of the main legal entity and are not strictly comparable. Partners and lawyers mostly firm-supplied to Chambers (2026). Employees = headcount, used as a proxy for FTEs (no FTE data is published); AB headcounts usually exclude partners who bill via own companies. Ratios are calculated only where both inputs exist. Grey = not found.</t>
        </is>
      </c>
    </row>
    <row r="4">
      <c r="A4" s="52" t="inlineStr">
        <is>
          <t>#</t>
        </is>
      </c>
      <c r="B4" s="52" t="inlineStr">
        <is>
          <t>Firm</t>
        </is>
      </c>
      <c r="C4" s="52" t="inlineStr">
        <is>
          <t>FY</t>
        </is>
      </c>
      <c r="D4" s="52" t="inlineStr">
        <is>
          <t>Revenue SEK m</t>
        </is>
      </c>
      <c r="E4" s="52" t="inlineStr">
        <is>
          <t>Revenue basis</t>
        </is>
      </c>
      <c r="F4" s="52" t="inlineStr">
        <is>
          <t>Partners</t>
        </is>
      </c>
      <c r="G4" s="52" t="inlineStr">
        <is>
          <t>Partner source</t>
        </is>
      </c>
      <c r="H4" s="52" t="inlineStr">
        <is>
          <t>Lawyers</t>
        </is>
      </c>
      <c r="I4" s="52" t="inlineStr">
        <is>
          <t>Employees (FTE proxy)</t>
        </is>
      </c>
      <c r="J4" s="52" t="inlineStr">
        <is>
          <t>Employee source</t>
        </is>
      </c>
      <c r="K4" s="52" t="inlineStr">
        <is>
          <t>Rev / partner SEK m</t>
        </is>
      </c>
      <c r="L4" s="52" t="inlineStr">
        <is>
          <t>Rev / employee SEK m</t>
        </is>
      </c>
      <c r="M4" s="52" t="inlineStr">
        <is>
          <t>Rev / lawyer SEK m</t>
        </is>
      </c>
      <c r="N4" s="52" t="inlineStr">
        <is>
          <t>Leverage (partners / lawyers)</t>
        </is>
      </c>
      <c r="O4" s="52" t="inlineStr">
        <is>
          <t>Notes</t>
        </is>
      </c>
    </row>
    <row r="5">
      <c r="A5" s="81" t="n">
        <v>1</v>
      </c>
      <c r="B5" s="81" t="inlineStr">
        <is>
          <t>Vinge</t>
        </is>
      </c>
      <c r="C5" s="81" t="inlineStr">
        <is>
          <t>2025</t>
        </is>
      </c>
      <c r="D5" s="82" t="n">
        <v>2036</v>
      </c>
      <c r="E5" s="49" t="inlineStr">
        <is>
          <t>Group, annual reports (DJ via Realtid)</t>
        </is>
      </c>
      <c r="F5" s="81" t="n">
        <v>71</v>
      </c>
      <c r="G5" s="49" t="inlineStr">
        <is>
          <t>Firm website count, Oct-26 (lawyers incl. ~46 on leave)</t>
        </is>
      </c>
      <c r="H5" s="81" t="n">
        <v>389</v>
      </c>
      <c r="I5" s="81" t="n">
        <v>550</v>
      </c>
      <c r="J5" s="49" t="inlineStr">
        <is>
          <t>Website, 2026 (~550)</t>
        </is>
      </c>
      <c r="K5" s="56">
        <f>D5/F5</f>
        <v/>
      </c>
      <c r="L5" s="56">
        <f>D5/I5</f>
        <v/>
      </c>
      <c r="M5" s="56">
        <f>D5/H5</f>
        <v/>
      </c>
      <c r="N5" s="66">
        <f>F5/H5</f>
        <v/>
      </c>
      <c r="O5" s="49" t="inlineStr">
        <is>
          <t>-2% y/y; 2024 was a record (2,083-2,085)</t>
        </is>
      </c>
    </row>
    <row r="6">
      <c r="A6" s="81" t="n">
        <v>2</v>
      </c>
      <c r="B6" s="81" t="inlineStr">
        <is>
          <t>Mannheimer Swartling</t>
        </is>
      </c>
      <c r="C6" s="81" t="inlineStr">
        <is>
          <t>2025</t>
        </is>
      </c>
      <c r="D6" s="82" t="n">
        <v>2002</v>
      </c>
      <c r="E6" s="49" t="inlineStr">
        <is>
          <t>Group, annual report (DJ via Realtid)</t>
        </is>
      </c>
      <c r="F6" s="81" t="n">
        <v>92</v>
      </c>
      <c r="G6" s="49" t="inlineStr">
        <is>
          <t>DJ (dividend split), 2025</t>
        </is>
      </c>
      <c r="H6" s="81" t="n">
        <v>430</v>
      </c>
      <c r="I6" s="81" t="n">
        <v>650</v>
      </c>
      <c r="J6" s="49" t="inlineStr">
        <is>
          <t>Chambers 2026 / AB 649</t>
        </is>
      </c>
      <c r="K6" s="56">
        <f>D6/F6</f>
        <v/>
      </c>
      <c r="L6" s="56">
        <f>D6/I6</f>
        <v/>
      </c>
      <c r="M6" s="56">
        <f>D6/H6</f>
        <v/>
      </c>
      <c r="N6" s="66">
        <f>F6/H6</f>
        <v/>
      </c>
      <c r="O6" s="49" t="inlineStr">
        <is>
          <t>+4%; EBIT SEK 796m; dividend SEK 617m</t>
        </is>
      </c>
    </row>
    <row r="7">
      <c r="A7" s="81" t="n">
        <v>3</v>
      </c>
      <c r="B7" s="81" t="inlineStr">
        <is>
          <t>Roschier (Sweden)</t>
        </is>
      </c>
      <c r="C7" s="81" t="inlineStr">
        <is>
          <t>FY Jun24-May25</t>
        </is>
      </c>
      <c r="D7" s="82" t="n">
        <v>1254</v>
      </c>
      <c r="E7" s="49" t="inlineStr">
        <is>
          <t>Affärsvärlden Oct-25</t>
        </is>
      </c>
      <c r="F7" s="81" t="n">
        <v>26</v>
      </c>
      <c r="G7" s="49" t="inlineStr">
        <is>
          <t>Firm website count, Oct-26 (Stockholm)</t>
        </is>
      </c>
      <c r="H7" s="81" t="n">
        <v>181</v>
      </c>
      <c r="I7" s="81" t="n">
        <v>226</v>
      </c>
      <c r="J7" s="49" t="inlineStr">
        <is>
          <t>Company accounts (AB)</t>
        </is>
      </c>
      <c r="K7" s="56">
        <f>D7/F7</f>
        <v/>
      </c>
      <c r="L7" s="56">
        <f>D7/I7</f>
        <v/>
      </c>
      <c r="M7" s="56">
        <f>D7/H7</f>
        <v/>
      </c>
      <c r="N7" s="66">
        <f>F7/H7</f>
        <v/>
      </c>
      <c r="O7" s="49" t="inlineStr">
        <is>
          <t>FY25/26 net sales 1,304 (220 staff)</t>
        </is>
      </c>
    </row>
    <row r="8">
      <c r="A8" s="81" t="n">
        <v>4</v>
      </c>
      <c r="B8" s="81" t="inlineStr">
        <is>
          <t>White &amp; Case (Stockholm)</t>
        </is>
      </c>
      <c r="C8" s="81" t="inlineStr">
        <is>
          <t>2025</t>
        </is>
      </c>
      <c r="D8" s="82" t="n">
        <v>1108</v>
      </c>
      <c r="E8" s="49" t="inlineStr">
        <is>
          <t>Company accounts, net sales (AB)</t>
        </is>
      </c>
      <c r="F8" s="81" t="n">
        <v>16</v>
      </c>
      <c r="G8" s="49" t="inlineStr">
        <is>
          <t>Implied (est.): DJ "&gt;SEK 69m per partner"</t>
        </is>
      </c>
      <c r="H8" s="81" t="n">
        <v>70</v>
      </c>
      <c r="I8" s="81" t="n">
        <v>120</v>
      </c>
      <c r="J8" s="49" t="inlineStr">
        <is>
          <t>Company accounts (AB)</t>
        </is>
      </c>
      <c r="K8" s="56">
        <f>D8/F8</f>
        <v/>
      </c>
      <c r="L8" s="56">
        <f>D8/I8</f>
        <v/>
      </c>
      <c r="M8" s="56">
        <f>D8/H8</f>
        <v/>
      </c>
      <c r="N8" s="66">
        <f>F8/H8</f>
        <v/>
      </c>
      <c r="O8" s="49" t="inlineStr">
        <is>
          <t>2024: 859; +29%. AB net sales may include intra-group billing; per-head ratios look high, treat with caution</t>
        </is>
      </c>
    </row>
    <row r="9">
      <c r="A9" s="81" t="n">
        <v>5</v>
      </c>
      <c r="B9" s="81" t="inlineStr">
        <is>
          <t>Setterwalls</t>
        </is>
      </c>
      <c r="C9" s="81" t="inlineStr">
        <is>
          <t>2025</t>
        </is>
      </c>
      <c r="D9" s="82" t="n">
        <v>1000</v>
      </c>
      <c r="E9" s="49" t="inlineStr">
        <is>
          <t>Affärsvärlden ("&gt;1bn"); parent AB 1,056</t>
        </is>
      </c>
      <c r="F9" s="81" t="n">
        <v>38</v>
      </c>
      <c r="G9" s="49" t="inlineStr">
        <is>
          <t>Firm website count, Oct-26 (Sthlm + Gbg; Malmö left Sep-26)</t>
        </is>
      </c>
      <c r="H9" s="81" t="n">
        <v>177</v>
      </c>
      <c r="I9" s="81" t="n">
        <v>306</v>
      </c>
      <c r="J9" s="49" t="inlineStr">
        <is>
          <t>Sum of 3 entities (AB)</t>
        </is>
      </c>
      <c r="K9" s="56">
        <f>D9/F9</f>
        <v/>
      </c>
      <c r="L9" s="56">
        <f>D9/I9</f>
        <v/>
      </c>
      <c r="M9" s="56">
        <f>D9/H9</f>
        <v/>
      </c>
      <c r="N9" s="66">
        <f>F9/H9</f>
        <v/>
      </c>
      <c r="O9" s="49" t="inlineStr">
        <is>
          <t>Malmö office (SEK 305m) left Sep-26 for AGRD</t>
        </is>
      </c>
    </row>
    <row r="10">
      <c r="A10" s="81" t="n">
        <v>6</v>
      </c>
      <c r="B10" s="81" t="inlineStr">
        <is>
          <t>Lindahl</t>
        </is>
      </c>
      <c r="C10" s="81" t="inlineStr">
        <is>
          <t>2024</t>
        </is>
      </c>
      <c r="D10" s="82" t="n">
        <v>737</v>
      </c>
      <c r="E10" s="49" t="inlineStr">
        <is>
          <t>Affärsvärlden Apr-25</t>
        </is>
      </c>
      <c r="F10" s="81" t="n">
        <v>68</v>
      </c>
      <c r="G10" s="49" t="inlineStr">
        <is>
          <t>Legal 500 (firm-supplied, 2026)</t>
        </is>
      </c>
      <c r="H10" s="81" t="n">
        <v>220</v>
      </c>
      <c r="I10" s="81" t="n">
        <v>300</v>
      </c>
      <c r="J10" s="49" t="inlineStr">
        <is>
          <t>Chambers 2026</t>
        </is>
      </c>
      <c r="K10" s="56">
        <f>D10/F10</f>
        <v/>
      </c>
      <c r="L10" s="56">
        <f>D10/I10</f>
        <v/>
      </c>
      <c r="M10" s="56">
        <f>D10/H10</f>
        <v/>
      </c>
      <c r="N10" s="66">
        <f>F10/H10</f>
        <v/>
      </c>
      <c r="O10" s="49" t="inlineStr">
        <is>
          <t>2025 entity sum ~635 (est., not comparable)</t>
        </is>
      </c>
    </row>
    <row r="11">
      <c r="A11" s="81" t="n">
        <v>7</v>
      </c>
      <c r="B11" s="81" t="inlineStr">
        <is>
          <t>Gernandt &amp; Danielsson</t>
        </is>
      </c>
      <c r="C11" s="81" t="inlineStr">
        <is>
          <t>FY24/25</t>
        </is>
      </c>
      <c r="D11" s="82" t="n">
        <v>676</v>
      </c>
      <c r="E11" s="49" t="inlineStr">
        <is>
          <t>Affärsvärlden Oct-25</t>
        </is>
      </c>
      <c r="F11" s="81" t="n">
        <v>20</v>
      </c>
      <c r="G11" s="49" t="inlineStr">
        <is>
          <t>Firm website count, Oct-26</t>
        </is>
      </c>
      <c r="H11" s="81" t="n">
        <v>91</v>
      </c>
      <c r="I11" s="81" t="n">
        <v>150</v>
      </c>
      <c r="J11" s="49" t="inlineStr">
        <is>
          <t>Firm website</t>
        </is>
      </c>
      <c r="K11" s="56">
        <f>D11/F11</f>
        <v/>
      </c>
      <c r="L11" s="56">
        <f>D11/I11</f>
        <v/>
      </c>
      <c r="M11" s="56">
        <f>D11/H11</f>
        <v/>
      </c>
      <c r="N11" s="66">
        <f>F11/H11</f>
        <v/>
      </c>
      <c r="O11" s="49" t="inlineStr">
        <is>
          <t>+12% (FY23/24: 601)</t>
        </is>
      </c>
    </row>
    <row r="12">
      <c r="A12" s="81" t="n">
        <v>8</v>
      </c>
      <c r="B12" s="81" t="inlineStr">
        <is>
          <t>DLA Piper (Sweden)</t>
        </is>
      </c>
      <c r="C12" s="81" t="inlineStr">
        <is>
          <t>FY24/25</t>
        </is>
      </c>
      <c r="D12" s="82" t="n">
        <v>602</v>
      </c>
      <c r="E12" s="49" t="inlineStr">
        <is>
          <t>Affärsvärlden Oct-25</t>
        </is>
      </c>
      <c r="F12" s="81" t="n">
        <v>37</v>
      </c>
      <c r="G12" s="49" t="inlineStr">
        <is>
          <t>Firm website count, Oct-26 (profile pages)</t>
        </is>
      </c>
      <c r="H12" s="81" t="n">
        <v>148</v>
      </c>
      <c r="I12" s="83" t="n"/>
      <c r="J12" s="49" t="inlineStr"/>
      <c r="K12" s="56">
        <f>D12/F12</f>
        <v/>
      </c>
      <c r="L12" s="57" t="n"/>
      <c r="M12" s="56">
        <f>D12/H12</f>
        <v/>
      </c>
      <c r="N12" s="66">
        <f>F12/H12</f>
        <v/>
      </c>
      <c r="O12" s="49" t="inlineStr">
        <is>
          <t>-9%</t>
        </is>
      </c>
    </row>
    <row r="13">
      <c r="A13" s="81" t="n">
        <v>9</v>
      </c>
      <c r="B13" s="81" t="inlineStr">
        <is>
          <t>CMS Wistrand</t>
        </is>
      </c>
      <c r="C13" s="81" t="inlineStr">
        <is>
          <t>2024</t>
        </is>
      </c>
      <c r="D13" s="82" t="n">
        <v>558</v>
      </c>
      <c r="E13" s="49" t="inlineStr">
        <is>
          <t>Affärsvärlden Apr-25</t>
        </is>
      </c>
      <c r="F13" s="81" t="n">
        <v>51</v>
      </c>
      <c r="G13" s="49" t="inlineStr">
        <is>
          <t>Firm statement (cms.law)</t>
        </is>
      </c>
      <c r="H13" s="81" t="n">
        <v>150</v>
      </c>
      <c r="I13" s="83" t="n"/>
      <c r="J13" s="49" t="inlineStr"/>
      <c r="K13" s="56">
        <f>D13/F13</f>
        <v/>
      </c>
      <c r="L13" s="57" t="n"/>
      <c r="M13" s="56">
        <f>D13/H13</f>
        <v/>
      </c>
      <c r="N13" s="66">
        <f>F13/H13</f>
        <v/>
      </c>
      <c r="O13" s="49" t="inlineStr"/>
    </row>
    <row r="14">
      <c r="A14" s="81" t="n">
        <v>10</v>
      </c>
      <c r="B14" s="81" t="inlineStr">
        <is>
          <t>Schjødt (Sweden)</t>
        </is>
      </c>
      <c r="C14" s="81" t="inlineStr">
        <is>
          <t>2025</t>
        </is>
      </c>
      <c r="D14" s="82" t="n">
        <v>534</v>
      </c>
      <c r="E14" s="49" t="inlineStr">
        <is>
          <t>Est.: "&gt;SEK 0.5bn", +25% on 427</t>
        </is>
      </c>
      <c r="F14" s="81" t="n">
        <v>20</v>
      </c>
      <c r="G14" s="49" t="inlineStr">
        <is>
          <t>Firm website count, Oct-26 (may include leavers to BAHR)</t>
        </is>
      </c>
      <c r="H14" s="81" t="n">
        <v>65</v>
      </c>
      <c r="I14" s="83" t="n"/>
      <c r="J14" s="49" t="inlineStr"/>
      <c r="K14" s="56">
        <f>D14/F14</f>
        <v/>
      </c>
      <c r="L14" s="57" t="n"/>
      <c r="M14" s="56">
        <f>D14/H14</f>
        <v/>
      </c>
      <c r="N14" s="66">
        <f>F14/H14</f>
        <v/>
      </c>
      <c r="O14" s="49" t="inlineStr">
        <is>
          <t>Branch, no Swedish accounts; 8 Sthlm partners left for BAHR (2026)</t>
        </is>
      </c>
    </row>
    <row r="15">
      <c r="A15" s="81" t="n">
        <v>11</v>
      </c>
      <c r="B15" s="81" t="inlineStr">
        <is>
          <t>Delphi</t>
        </is>
      </c>
      <c r="C15" s="81" t="inlineStr">
        <is>
          <t>2024</t>
        </is>
      </c>
      <c r="D15" s="82" t="n">
        <v>516</v>
      </c>
      <c r="E15" s="49" t="inlineStr">
        <is>
          <t>Affärsvärlden Apr-25</t>
        </is>
      </c>
      <c r="F15" s="81" t="n">
        <v>49</v>
      </c>
      <c r="G15" s="49" t="inlineStr">
        <is>
          <t>Chambers 2026</t>
        </is>
      </c>
      <c r="H15" s="81" t="n">
        <v>150</v>
      </c>
      <c r="I15" s="81" t="n">
        <v>220</v>
      </c>
      <c r="J15" s="49" t="inlineStr">
        <is>
          <t>Firm website</t>
        </is>
      </c>
      <c r="K15" s="56">
        <f>D15/F15</f>
        <v/>
      </c>
      <c r="L15" s="56">
        <f>D15/I15</f>
        <v/>
      </c>
      <c r="M15" s="56">
        <f>D15/H15</f>
        <v/>
      </c>
      <c r="N15" s="66">
        <f>F15/H15</f>
        <v/>
      </c>
      <c r="O15" s="49" t="inlineStr">
        <is>
          <t>+2%</t>
        </is>
      </c>
    </row>
    <row r="16">
      <c r="A16" s="81" t="n">
        <v>12</v>
      </c>
      <c r="B16" s="81" t="inlineStr">
        <is>
          <t>Cirio</t>
        </is>
      </c>
      <c r="C16" s="81" t="inlineStr">
        <is>
          <t>2025</t>
        </is>
      </c>
      <c r="D16" s="82" t="n">
        <v>431</v>
      </c>
      <c r="E16" s="49" t="inlineStr">
        <is>
          <t>Company accounts, net sales (AB)</t>
        </is>
      </c>
      <c r="F16" s="81" t="n">
        <v>27</v>
      </c>
      <c r="G16" s="49" t="inlineStr">
        <is>
          <t>Legal 500 (firm-supplied, 2026)</t>
        </is>
      </c>
      <c r="H16" s="81" t="n">
        <v>76</v>
      </c>
      <c r="I16" s="81" t="n">
        <v>127</v>
      </c>
      <c r="J16" s="49" t="inlineStr">
        <is>
          <t>Company accounts (AB)</t>
        </is>
      </c>
      <c r="K16" s="56">
        <f>D16/F16</f>
        <v/>
      </c>
      <c r="L16" s="56">
        <f>D16/I16</f>
        <v/>
      </c>
      <c r="M16" s="56">
        <f>D16/H16</f>
        <v/>
      </c>
      <c r="N16" s="66">
        <f>F16/H16</f>
        <v/>
      </c>
      <c r="O16" s="49" t="inlineStr">
        <is>
          <t>+15% (Afv); 2024 Afv 363</t>
        </is>
      </c>
    </row>
    <row r="17">
      <c r="A17" s="81" t="n">
        <v>13</v>
      </c>
      <c r="B17" s="81" t="inlineStr">
        <is>
          <t>MAQS</t>
        </is>
      </c>
      <c r="C17" s="81" t="inlineStr">
        <is>
          <t>2024</t>
        </is>
      </c>
      <c r="D17" s="82" t="n">
        <v>417</v>
      </c>
      <c r="E17" s="49" t="inlineStr">
        <is>
          <t>Affärsvärlden Apr-25</t>
        </is>
      </c>
      <c r="F17" s="81" t="n">
        <v>48</v>
      </c>
      <c r="G17" s="49" t="inlineStr">
        <is>
          <t>Firm website count, Oct-26</t>
        </is>
      </c>
      <c r="H17" s="81" t="n">
        <v>144</v>
      </c>
      <c r="I17" s="81" t="n">
        <v>180</v>
      </c>
      <c r="J17" s="49" t="inlineStr">
        <is>
          <t>Chambers 2026</t>
        </is>
      </c>
      <c r="K17" s="56">
        <f>D17/F17</f>
        <v/>
      </c>
      <c r="L17" s="56">
        <f>D17/I17</f>
        <v/>
      </c>
      <c r="M17" s="56">
        <f>D17/H17</f>
        <v/>
      </c>
      <c r="N17" s="66">
        <f>F17/H17</f>
        <v/>
      </c>
      <c r="O17" s="49" t="inlineStr">
        <is>
          <t>+21%</t>
        </is>
      </c>
    </row>
    <row r="18">
      <c r="A18" s="81" t="n">
        <v>14</v>
      </c>
      <c r="B18" s="81" t="inlineStr">
        <is>
          <t>Baker McKenzie (Stockholm)</t>
        </is>
      </c>
      <c r="C18" s="81" t="inlineStr">
        <is>
          <t>FY23/24</t>
        </is>
      </c>
      <c r="D18" s="82" t="n">
        <v>334</v>
      </c>
      <c r="E18" s="49" t="inlineStr">
        <is>
          <t>Affärsvärlden Apr-25</t>
        </is>
      </c>
      <c r="F18" s="81" t="n">
        <v>12</v>
      </c>
      <c r="G18" s="49" t="inlineStr">
        <is>
          <t>Firm website count, Oct-26 (+2 principals)</t>
        </is>
      </c>
      <c r="H18" s="81" t="n">
        <v>73</v>
      </c>
      <c r="I18" s="83" t="n"/>
      <c r="J18" s="49" t="inlineStr"/>
      <c r="K18" s="56">
        <f>D18/F18</f>
        <v/>
      </c>
      <c r="L18" s="57" t="n"/>
      <c r="M18" s="56">
        <f>D18/H18</f>
        <v/>
      </c>
      <c r="N18" s="66">
        <f>F18/H18</f>
        <v/>
      </c>
      <c r="O18" s="49" t="inlineStr">
        <is>
          <t>KB, no public accounts</t>
        </is>
      </c>
    </row>
    <row r="19">
      <c r="A19" s="81" t="n">
        <v>15</v>
      </c>
      <c r="B19" s="81" t="inlineStr">
        <is>
          <t>Snellman (Sweden)</t>
        </is>
      </c>
      <c r="C19" s="81" t="inlineStr">
        <is>
          <t>2025</t>
        </is>
      </c>
      <c r="D19" s="82" t="n">
        <v>279</v>
      </c>
      <c r="E19" s="49" t="inlineStr">
        <is>
          <t>Company accounts, net sales (AB)</t>
        </is>
      </c>
      <c r="F19" s="83" t="n"/>
      <c r="G19" s="49" t="inlineStr"/>
      <c r="H19" s="83" t="n"/>
      <c r="I19" s="81" t="n">
        <v>107</v>
      </c>
      <c r="J19" s="49" t="inlineStr">
        <is>
          <t>Company accounts (AB)</t>
        </is>
      </c>
      <c r="K19" s="57" t="n"/>
      <c r="L19" s="56">
        <f>D19/I19</f>
        <v/>
      </c>
      <c r="M19" s="57" t="n"/>
      <c r="N19" s="57" t="n"/>
      <c r="O19" s="49" t="inlineStr">
        <is>
          <t>2024 Afv 295</t>
        </is>
      </c>
    </row>
    <row r="20">
      <c r="A20" s="81" t="n">
        <v>16</v>
      </c>
      <c r="B20" s="81" t="inlineStr">
        <is>
          <t>Foyen</t>
        </is>
      </c>
      <c r="C20" s="81" t="inlineStr">
        <is>
          <t>2024</t>
        </is>
      </c>
      <c r="D20" s="82" t="n">
        <v>277</v>
      </c>
      <c r="E20" s="49" t="inlineStr">
        <is>
          <t>Affärsvärlden Apr-25</t>
        </is>
      </c>
      <c r="F20" s="81" t="n">
        <v>23</v>
      </c>
      <c r="G20" s="49" t="inlineStr">
        <is>
          <t>Firm website count, Oct-26</t>
        </is>
      </c>
      <c r="H20" s="81" t="n">
        <v>73</v>
      </c>
      <c r="I20" s="81" t="n">
        <v>106</v>
      </c>
      <c r="J20" s="49" t="inlineStr">
        <is>
          <t>Company accounts (AB)</t>
        </is>
      </c>
      <c r="K20" s="56">
        <f>D20/F20</f>
        <v/>
      </c>
      <c r="L20" s="56">
        <f>D20/I20</f>
        <v/>
      </c>
      <c r="M20" s="56">
        <f>D20/H20</f>
        <v/>
      </c>
      <c r="N20" s="66">
        <f>F20/H20</f>
        <v/>
      </c>
      <c r="O20" s="49" t="inlineStr"/>
    </row>
    <row r="21">
      <c r="A21" s="81" t="n">
        <v>17</v>
      </c>
      <c r="B21" s="81" t="inlineStr">
        <is>
          <t>Glimstedt</t>
        </is>
      </c>
      <c r="C21" s="81" t="inlineStr">
        <is>
          <t>2024</t>
        </is>
      </c>
      <c r="D21" s="82" t="n">
        <v>196</v>
      </c>
      <c r="E21" s="49" t="inlineStr">
        <is>
          <t>Affärsvärlden Apr-25</t>
        </is>
      </c>
      <c r="F21" s="81" t="n">
        <v>41</v>
      </c>
      <c r="G21" s="49" t="inlineStr">
        <is>
          <t>Firm website count, Oct-26 (Sweden)</t>
        </is>
      </c>
      <c r="H21" s="81" t="n">
        <v>78</v>
      </c>
      <c r="I21" s="83" t="n"/>
      <c r="J21" s="49" t="inlineStr"/>
      <c r="K21" s="56">
        <f>D21/F21</f>
        <v/>
      </c>
      <c r="L21" s="57" t="n"/>
      <c r="M21" s="56">
        <f>D21/H21</f>
        <v/>
      </c>
      <c r="N21" s="66">
        <f>F21/H21</f>
        <v/>
      </c>
      <c r="O21" s="49" t="inlineStr">
        <is>
          <t>~200 staff on website includes Baltics (not used)</t>
        </is>
      </c>
    </row>
    <row r="22">
      <c r="A22" s="81" t="n">
        <v>18</v>
      </c>
      <c r="B22" s="81" t="inlineStr">
        <is>
          <t>Eversheds Sutherland</t>
        </is>
      </c>
      <c r="C22" s="81" t="inlineStr">
        <is>
          <t>2025</t>
        </is>
      </c>
      <c r="D22" s="82" t="n">
        <v>166</v>
      </c>
      <c r="E22" s="49" t="inlineStr">
        <is>
          <t>Company accounts, net sales (AB)</t>
        </is>
      </c>
      <c r="F22" s="83" t="n"/>
      <c r="G22" s="49" t="inlineStr"/>
      <c r="H22" s="83" t="n"/>
      <c r="I22" s="81" t="n">
        <v>59</v>
      </c>
      <c r="J22" s="49" t="inlineStr">
        <is>
          <t>Company accounts (AB)</t>
        </is>
      </c>
      <c r="K22" s="57" t="n"/>
      <c r="L22" s="56">
        <f>D22/I22</f>
        <v/>
      </c>
      <c r="M22" s="57" t="n"/>
      <c r="N22" s="57" t="n"/>
      <c r="O22" s="49" t="inlineStr">
        <is>
          <t>2024 Afv 140</t>
        </is>
      </c>
    </row>
    <row r="23">
      <c r="A23" s="81" t="n">
        <v>19</v>
      </c>
      <c r="B23" s="81" t="inlineStr">
        <is>
          <t>Fylgia</t>
        </is>
      </c>
      <c r="C23" s="81" t="inlineStr">
        <is>
          <t>2024</t>
        </is>
      </c>
      <c r="D23" s="82" t="n">
        <v>131</v>
      </c>
      <c r="E23" s="49" t="inlineStr">
        <is>
          <t>Affärsvärlden Apr-25</t>
        </is>
      </c>
      <c r="F23" s="81" t="n">
        <v>21</v>
      </c>
      <c r="G23" s="49" t="inlineStr">
        <is>
          <t>Firm website count, Oct-26</t>
        </is>
      </c>
      <c r="H23" s="81" t="n">
        <v>35</v>
      </c>
      <c r="I23" s="83" t="n"/>
      <c r="J23" s="49" t="inlineStr"/>
      <c r="K23" s="56">
        <f>D23/F23</f>
        <v/>
      </c>
      <c r="L23" s="57" t="n"/>
      <c r="M23" s="56">
        <f>D23/H23</f>
        <v/>
      </c>
      <c r="N23" s="66">
        <f>F23/H23</f>
        <v/>
      </c>
      <c r="O23" s="49" t="inlineStr">
        <is>
          <t>Record 2025 (firm)</t>
        </is>
      </c>
    </row>
    <row r="24">
      <c r="A24" s="81" t="n">
        <v>20</v>
      </c>
      <c r="B24" s="81" t="inlineStr">
        <is>
          <t>Westerberg &amp; Partners</t>
        </is>
      </c>
      <c r="C24" s="81" t="inlineStr">
        <is>
          <t>2025</t>
        </is>
      </c>
      <c r="D24" s="82" t="n">
        <v>107</v>
      </c>
      <c r="E24" s="49" t="inlineStr">
        <is>
          <t>Company accounts, net sales (AB)</t>
        </is>
      </c>
      <c r="F24" s="81" t="n">
        <v>12</v>
      </c>
      <c r="G24" s="49" t="inlineStr">
        <is>
          <t>Firm website count, Oct-26</t>
        </is>
      </c>
      <c r="H24" s="81" t="n">
        <v>24</v>
      </c>
      <c r="I24" s="81" t="n">
        <v>35</v>
      </c>
      <c r="J24" s="49" t="inlineStr">
        <is>
          <t>Company accounts (AB)</t>
        </is>
      </c>
      <c r="K24" s="56">
        <f>D24/F24</f>
        <v/>
      </c>
      <c r="L24" s="56">
        <f>D24/I24</f>
        <v/>
      </c>
      <c r="M24" s="56">
        <f>D24/H24</f>
        <v/>
      </c>
      <c r="N24" s="66">
        <f>F24/H24</f>
        <v/>
      </c>
      <c r="O24" s="49" t="inlineStr"/>
    </row>
    <row r="25">
      <c r="A25" s="81" t="n">
        <v>21</v>
      </c>
      <c r="B25" s="81" t="inlineStr">
        <is>
          <t>Moll Wendén</t>
        </is>
      </c>
      <c r="C25" s="81" t="inlineStr">
        <is>
          <t>2025</t>
        </is>
      </c>
      <c r="D25" s="82" t="n">
        <v>101</v>
      </c>
      <c r="E25" s="49" t="inlineStr">
        <is>
          <t>Company accounts, net sales (AB)</t>
        </is>
      </c>
      <c r="F25" s="81" t="n">
        <v>8</v>
      </c>
      <c r="G25" s="49" t="inlineStr">
        <is>
          <t>Firm website count, Oct-26</t>
        </is>
      </c>
      <c r="H25" s="81" t="n">
        <v>37</v>
      </c>
      <c r="I25" s="81" t="n">
        <v>44</v>
      </c>
      <c r="J25" s="49" t="inlineStr">
        <is>
          <t>Company accounts (AB)</t>
        </is>
      </c>
      <c r="K25" s="56">
        <f>D25/F25</f>
        <v/>
      </c>
      <c r="L25" s="56">
        <f>D25/I25</f>
        <v/>
      </c>
      <c r="M25" s="56">
        <f>D25/H25</f>
        <v/>
      </c>
      <c r="N25" s="66">
        <f>F25/H25</f>
        <v/>
      </c>
      <c r="O25" s="49" t="inlineStr"/>
    </row>
    <row r="26">
      <c r="A26" s="81" t="n">
        <v>22</v>
      </c>
      <c r="B26" s="81" t="inlineStr">
        <is>
          <t>Born</t>
        </is>
      </c>
      <c r="C26" s="81" t="inlineStr">
        <is>
          <t>2024</t>
        </is>
      </c>
      <c r="D26" s="82" t="n">
        <v>86</v>
      </c>
      <c r="E26" s="49" t="inlineStr">
        <is>
          <t>Affärsvärlden Apr-25</t>
        </is>
      </c>
      <c r="F26" s="81" t="n">
        <v>9</v>
      </c>
      <c r="G26" s="49" t="inlineStr">
        <is>
          <t>Firm website count, Oct-26</t>
        </is>
      </c>
      <c r="H26" s="81" t="n">
        <v>26</v>
      </c>
      <c r="I26" s="83" t="n"/>
      <c r="J26" s="49" t="inlineStr"/>
      <c r="K26" s="56">
        <f>D26/F26</f>
        <v/>
      </c>
      <c r="L26" s="57" t="n"/>
      <c r="M26" s="56">
        <f>D26/H26</f>
        <v/>
      </c>
      <c r="N26" s="66">
        <f>F26/H26</f>
        <v/>
      </c>
      <c r="O26" s="49" t="inlineStr">
        <is>
          <t>Part of AGRD since 2025</t>
        </is>
      </c>
    </row>
    <row r="27">
      <c r="A27" s="81" t="n">
        <v>23</v>
      </c>
      <c r="B27" s="81" t="inlineStr">
        <is>
          <t>Harvest</t>
        </is>
      </c>
      <c r="C27" s="81" t="inlineStr">
        <is>
          <t>2025</t>
        </is>
      </c>
      <c r="D27" s="82" t="n">
        <v>82</v>
      </c>
      <c r="E27" s="49" t="inlineStr">
        <is>
          <t>Company accounts, net sales (AB)</t>
        </is>
      </c>
      <c r="F27" s="81" t="n">
        <v>5</v>
      </c>
      <c r="G27" s="49" t="inlineStr">
        <is>
          <t>Firm website count, Oct-26</t>
        </is>
      </c>
      <c r="H27" s="81" t="n">
        <v>27</v>
      </c>
      <c r="I27" s="81" t="n">
        <v>27</v>
      </c>
      <c r="J27" s="49" t="inlineStr">
        <is>
          <t>Company accounts (AB)</t>
        </is>
      </c>
      <c r="K27" s="56">
        <f>D27/F27</f>
        <v/>
      </c>
      <c r="L27" s="56">
        <f>D27/I27</f>
        <v/>
      </c>
      <c r="M27" s="56">
        <f>D27/H27</f>
        <v/>
      </c>
      <c r="N27" s="66">
        <f>F27/H27</f>
        <v/>
      </c>
      <c r="O27" s="49" t="inlineStr"/>
    </row>
    <row r="28">
      <c r="A28" s="81" t="n">
        <v>24</v>
      </c>
      <c r="B28" s="81" t="inlineStr">
        <is>
          <t>Synch</t>
        </is>
      </c>
      <c r="C28" s="81" t="inlineStr">
        <is>
          <t>2025</t>
        </is>
      </c>
      <c r="D28" s="82" t="n">
        <v>81</v>
      </c>
      <c r="E28" s="49" t="inlineStr">
        <is>
          <t>Company accounts, net sales (AB)</t>
        </is>
      </c>
      <c r="F28" s="81" t="n">
        <v>9</v>
      </c>
      <c r="G28" s="49" t="inlineStr">
        <is>
          <t>Firm website count, Oct-26</t>
        </is>
      </c>
      <c r="H28" s="81" t="n">
        <v>38</v>
      </c>
      <c r="I28" s="81" t="n">
        <v>38</v>
      </c>
      <c r="J28" s="49" t="inlineStr">
        <is>
          <t>Company accounts (AB)</t>
        </is>
      </c>
      <c r="K28" s="56">
        <f>D28/F28</f>
        <v/>
      </c>
      <c r="L28" s="56">
        <f>D28/I28</f>
        <v/>
      </c>
      <c r="M28" s="56">
        <f>D28/H28</f>
        <v/>
      </c>
      <c r="N28" s="66">
        <f>F28/H28</f>
        <v/>
      </c>
      <c r="O28" s="49" t="inlineStr">
        <is>
          <t>Part of AGRD since 2025</t>
        </is>
      </c>
    </row>
    <row r="29">
      <c r="A29" s="81" t="n">
        <v>25</v>
      </c>
      <c r="B29" s="81" t="inlineStr">
        <is>
          <t>Kastell</t>
        </is>
      </c>
      <c r="C29" s="81" t="inlineStr">
        <is>
          <t>2025</t>
        </is>
      </c>
      <c r="D29" s="82" t="n">
        <v>80</v>
      </c>
      <c r="E29" s="49" t="inlineStr">
        <is>
          <t>Company accounts, net sales (AB)</t>
        </is>
      </c>
      <c r="F29" s="81" t="n">
        <v>9</v>
      </c>
      <c r="G29" s="49" t="inlineStr">
        <is>
          <t>Firm website count, Oct-26</t>
        </is>
      </c>
      <c r="H29" s="81" t="n">
        <v>18</v>
      </c>
      <c r="I29" s="81" t="n">
        <v>21</v>
      </c>
      <c r="J29" s="49" t="inlineStr">
        <is>
          <t>Company accounts (AB)</t>
        </is>
      </c>
      <c r="K29" s="56">
        <f>D29/F29</f>
        <v/>
      </c>
      <c r="L29" s="56">
        <f>D29/I29</f>
        <v/>
      </c>
      <c r="M29" s="56">
        <f>D29/H29</f>
        <v/>
      </c>
      <c r="N29" s="66">
        <f>F29/H29</f>
        <v/>
      </c>
      <c r="O29" s="49" t="inlineStr"/>
    </row>
    <row r="30">
      <c r="B30" s="46" t="inlineStr">
        <is>
          <t>Total shown</t>
        </is>
      </c>
      <c r="D30" s="58">
        <f>SUM(D5:D29)</f>
        <v/>
      </c>
    </row>
    <row r="31">
      <c r="B31" t="inlineStr">
        <is>
          <t>Top 5 share of ~SEK 16bn panel (indicative, mixed years/bases)</t>
        </is>
      </c>
      <c r="D31" s="59">
        <f>SUM(D5:D9)/16000</f>
        <v/>
      </c>
    </row>
    <row r="32">
      <c r="B32" t="inlineStr">
        <is>
          <t>Top 10 share of ~SEK 16bn panel (indicative)</t>
        </is>
      </c>
      <c r="D32" s="59">
        <f>SUM(D5:D14)/16000</f>
        <v/>
      </c>
    </row>
    <row r="34">
      <c r="A34" s="45" t="inlineStr">
        <is>
          <t>Caveats: headcounts are current (mostly counted on firm websites, Oct-26) while revenue is FY2024/25, so ratios are indicative. White &amp; Case partners are implied from Dagens Juridik "&gt;SEK 69m per partner" (paywalled).</t>
        </is>
      </c>
    </row>
    <row r="35">
      <c r="A35" s="45" t="inlineStr">
        <is>
          <t>Leverage = partners / lawyers (lawyer counts as supplied to Chambers include partners); shown only where both counts exist. White &amp; Case uses the implied partner count.</t>
        </is>
      </c>
    </row>
    <row r="36">
      <c r="A36" s="45" t="inlineStr">
        <is>
          <t>Setterwalls: 2025 revenue includes the Malmö office (~SEK 305m) but headcount excludes it (left Sep-26), so per-head ratios are overstated. Snellman, Eversheds and White &amp; Case: no reliable partner count found. Magnusson (Sweden, Oct-26): 13 partners / ~47 lawyers, no current revenue found.</t>
        </is>
      </c>
    </row>
    <row r="37">
      <c r="A37" s="45" t="inlineStr">
        <is>
          <t>Sources: Affärsvärlden 12-Apr-25 https://www.affarsvarlden.se/artikel/vinge-gar-om-msa-sa-gar-det-for-affarsjuristerna ; 3-Oct-25 https://www.affarsvarlden.se/artikel/affarsjuristerna-gar-starkt-finns-fler-bolag-i-ipo-pipelinen ;</t>
        </is>
      </c>
    </row>
    <row r="38">
      <c r="A38" s="45" t="inlineStr">
        <is>
          <t>Realtid 7-Aug-26 https://www.realtid.se/juridik/vinge-tappar-mark-mannheimer-swartling-drar-ifran/ ; Realtid 26-Apr-26 https://www.realtid.se/juridik/affarsjuridiken-vaxer-men-sprickorna-syns/ ; Realtid 27-Nov-25 https://www.realtid.se/juridik/white-case-dubblade-omsattningen-var-styrka/ ;</t>
        </is>
      </c>
    </row>
    <row r="39">
      <c r="A39" s="45" t="inlineStr">
        <is>
          <t>Realtid 1-Sep-26 https://www.realtid.se/juridik/setterwalls-malmokontor-gar-till-riskkapitalagda-agrd/ ; Affärsvärlden 5-Oct-26 (Schjødt) https://www.affarsvarlden.se/artikel/schjdt-vaxer-snabbast--men-konkurrensen-hardnar ;</t>
        </is>
      </c>
    </row>
    <row r="40">
      <c r="A40" s="45" t="inlineStr">
        <is>
          <t>company accounts via https://www.allabolag.se/{org.nr} ; Chambers Europe 2026 firm profiles (firm-supplied "top figures"); firm websites.</t>
        </is>
      </c>
    </row>
  </sheetData>
  <mergeCells count="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min="1" max="1"/>
    <col width="22" customWidth="1" min="2" max="2"/>
    <col width="16" customWidth="1" min="3" max="3"/>
    <col width="14" customWidth="1" min="4" max="4"/>
    <col width="80" customWidth="1" min="5" max="5"/>
    <col width="60" customWidth="1" min="6" max="6"/>
  </cols>
  <sheetData>
    <row r="1">
      <c r="A1" s="1" t="inlineStr">
        <is>
          <t>A4.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(dated Jun-24 by Global Legal Post/Legal 500; Afv says early 2025).</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0" customWidth="1" min="3" max="3"/>
    <col width="10" customWidth="1" min="4" max="4"/>
    <col width="10" customWidth="1" min="5" max="5"/>
    <col width="9" customWidth="1" min="6" max="6"/>
    <col width="36" customWidth="1" min="7" max="7"/>
    <col width="28" customWidth="1" min="8" max="8"/>
    <col width="9" customWidth="1" min="9" max="9"/>
    <col width="9" customWidth="1" min="10" max="10"/>
    <col width="28" customWidth="1" min="11" max="11"/>
  </cols>
  <sheetData>
    <row r="1">
      <c r="A1" s="1" t="inlineStr">
        <is>
          <t>A5. Niche / independent Swedish law firms ranked by Chambers or Legal 500</t>
        </is>
      </c>
    </row>
    <row r="2" ht="60" customHeight="1">
      <c r="A2" s="2" t="inlineStr">
        <is>
          <t>Universe: firm-level rankings in Chambers Europe 2026 (Sweden) and Legal 500 EMEA (Sweden), incl. Legal 500 "firms to watch". Excludes international firms and the nine largest Swedish full-service firms. Counts: 45 ranked independents (incl. PE-owned AGRD firms) + 2 firms to watch only = 47; +5 borderline mid-size firms = 52.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row>
    <row r="5">
      <c r="A5" s="81" t="inlineStr">
        <is>
          <t>Hellström</t>
        </is>
      </c>
      <c r="B5" s="49" t="inlineStr">
        <is>
          <t>Ranked independent</t>
        </is>
      </c>
      <c r="C5" s="81" t="n">
        <v>1</v>
      </c>
      <c r="D5" s="81" t="n">
        <v>7</v>
      </c>
      <c r="E5" s="81" t="n">
        <v>0</v>
      </c>
      <c r="F5" s="81" t="n">
        <v>2</v>
      </c>
      <c r="G5" s="49" t="inlineStr">
        <is>
          <t>Data protection</t>
        </is>
      </c>
      <c r="H5" s="49" t="n"/>
      <c r="I5" s="81" t="n">
        <v>22</v>
      </c>
      <c r="J5" s="81" t="n">
        <v>49</v>
      </c>
      <c r="K5" s="49" t="inlineStr">
        <is>
          <t>L500 (22 partners, 10 senior assoc., 17 assoc.)</t>
        </is>
      </c>
    </row>
    <row r="6">
      <c r="A6" s="81" t="inlineStr">
        <is>
          <t>TIME DANOWSKY Advokatbyrå AB</t>
        </is>
      </c>
      <c r="B6" s="49" t="inlineStr">
        <is>
          <t>Ranked independent</t>
        </is>
      </c>
      <c r="C6" s="81" t="n">
        <v>3</v>
      </c>
      <c r="D6" s="81" t="n">
        <v>4</v>
      </c>
      <c r="E6" s="81" t="n">
        <v>0</v>
      </c>
      <c r="F6" s="81" t="n">
        <v>2</v>
      </c>
      <c r="G6" s="49" t="inlineStr">
        <is>
          <t>Data protection; IT / TMT</t>
        </is>
      </c>
      <c r="H6" s="49" t="n"/>
      <c r="I6" s="81" t="n"/>
      <c r="J6" s="81" t="n">
        <v>22</v>
      </c>
      <c r="K6" s="49" t="inlineStr">
        <is>
          <t>L500</t>
        </is>
      </c>
    </row>
    <row r="7">
      <c r="A7" s="81" t="inlineStr">
        <is>
          <t>Kastell</t>
        </is>
      </c>
      <c r="B7" s="49" t="inlineStr">
        <is>
          <t>Ranked independent</t>
        </is>
      </c>
      <c r="C7" s="81" t="n">
        <v>3</v>
      </c>
      <c r="D7" s="81" t="n">
        <v>3</v>
      </c>
      <c r="E7" s="81" t="n">
        <v>0</v>
      </c>
      <c r="F7" s="81" t="n">
        <v>2</v>
      </c>
      <c r="G7" s="49" t="inlineStr">
        <is>
          <t>Competition / EU; Public procurement</t>
        </is>
      </c>
      <c r="H7" s="49" t="n"/>
      <c r="I7" s="81" t="n">
        <v>9</v>
      </c>
      <c r="J7" s="81" t="n">
        <v>18</v>
      </c>
      <c r="K7" s="49" t="inlineStr">
        <is>
          <t>Firm website, Oct-26</t>
        </is>
      </c>
    </row>
    <row r="8">
      <c r="A8" s="81" t="inlineStr">
        <is>
          <t>Westerberg &amp; Partners</t>
        </is>
      </c>
      <c r="B8" s="49" t="inlineStr">
        <is>
          <t>Ranked independent</t>
        </is>
      </c>
      <c r="C8" s="81" t="n">
        <v>2</v>
      </c>
      <c r="D8" s="81" t="n">
        <v>4</v>
      </c>
      <c r="E8" s="81" t="n">
        <v>0</v>
      </c>
      <c r="F8" s="81" t="n">
        <v>1</v>
      </c>
      <c r="G8" s="49" t="inlineStr">
        <is>
          <t>IP; Insurance</t>
        </is>
      </c>
      <c r="H8" s="49" t="n"/>
      <c r="I8" s="81" t="n">
        <v>12</v>
      </c>
      <c r="J8" s="81" t="n">
        <v>24</v>
      </c>
      <c r="K8" s="49" t="inlineStr">
        <is>
          <t>Firm website, Oct-26</t>
        </is>
      </c>
    </row>
    <row r="9">
      <c r="A9" s="81" t="inlineStr">
        <is>
          <t>Kahn Pedersen</t>
        </is>
      </c>
      <c r="B9" s="49" t="inlineStr">
        <is>
          <t>Ranked independent</t>
        </is>
      </c>
      <c r="C9" s="81" t="n">
        <v>2</v>
      </c>
      <c r="D9" s="81" t="n">
        <v>3</v>
      </c>
      <c r="E9" s="81" t="n">
        <v>0</v>
      </c>
      <c r="F9" s="81" t="n">
        <v>1</v>
      </c>
      <c r="G9" s="49" t="inlineStr">
        <is>
          <t>Data protection; IT / TMT; Public procurement</t>
        </is>
      </c>
      <c r="H9" s="49" t="n"/>
      <c r="I9" s="81" t="n">
        <v>6</v>
      </c>
      <c r="J9" s="81" t="n">
        <v>19</v>
      </c>
      <c r="K9" s="49" t="inlineStr">
        <is>
          <t>L500/Chambers</t>
        </is>
      </c>
    </row>
    <row r="10">
      <c r="A10" s="81" t="inlineStr">
        <is>
          <t>Nordia Law</t>
        </is>
      </c>
      <c r="B10" s="49" t="inlineStr">
        <is>
          <t>Ranked independent</t>
        </is>
      </c>
      <c r="C10" s="81" t="n">
        <v>1</v>
      </c>
      <c r="D10" s="81" t="n">
        <v>4</v>
      </c>
      <c r="E10" s="81" t="n">
        <v>0</v>
      </c>
      <c r="F10" s="81" t="n">
        <v>2</v>
      </c>
      <c r="G10" s="49" t="inlineStr">
        <is>
          <t>Insurance</t>
        </is>
      </c>
      <c r="H10" s="49" t="n"/>
      <c r="I10" s="81" t="n"/>
      <c r="J10" s="81" t="n"/>
      <c r="K10" s="49" t="n"/>
    </row>
    <row r="11">
      <c r="A11" s="81" t="inlineStr">
        <is>
          <t>AG Advokat</t>
        </is>
      </c>
      <c r="B11" s="49" t="inlineStr">
        <is>
          <t>Ranked independent</t>
        </is>
      </c>
      <c r="C11" s="81" t="n">
        <v>1</v>
      </c>
      <c r="D11" s="81" t="n">
        <v>3</v>
      </c>
      <c r="E11" s="81" t="n">
        <v>0</v>
      </c>
      <c r="F11" s="81" t="n">
        <v>1</v>
      </c>
      <c r="G11" s="49" t="inlineStr">
        <is>
          <t>Real estate</t>
        </is>
      </c>
      <c r="H11" s="49" t="n"/>
      <c r="I11" s="81" t="n"/>
      <c r="J11" s="81" t="n">
        <v>41</v>
      </c>
      <c r="K11" s="49" t="inlineStr">
        <is>
          <t>L500</t>
        </is>
      </c>
    </row>
    <row r="12">
      <c r="A12" s="81" t="inlineStr">
        <is>
          <t>Bokwall Rislund</t>
        </is>
      </c>
      <c r="B12" s="49" t="inlineStr">
        <is>
          <t>Ranked independent</t>
        </is>
      </c>
      <c r="C12" s="81" t="n">
        <v>2</v>
      </c>
      <c r="D12" s="81" t="n">
        <v>2</v>
      </c>
      <c r="E12" s="81" t="n">
        <v>0</v>
      </c>
      <c r="F12" s="81" t="n">
        <v>1</v>
      </c>
      <c r="G12" s="49" t="inlineStr">
        <is>
          <t>Competition / EU; Public procurement</t>
        </is>
      </c>
      <c r="H12" s="49" t="n"/>
      <c r="I12" s="81" t="n"/>
      <c r="J12" s="81" t="n"/>
      <c r="K12" s="49" t="n"/>
    </row>
    <row r="13">
      <c r="A13" s="81" t="inlineStr">
        <is>
          <t>Sandart &amp; Partners</t>
        </is>
      </c>
      <c r="B13" s="49" t="inlineStr">
        <is>
          <t>Ranked independent</t>
        </is>
      </c>
      <c r="C13" s="81" t="n">
        <v>2</v>
      </c>
      <c r="D13" s="81" t="n">
        <v>2</v>
      </c>
      <c r="E13" s="81" t="n">
        <v>0</v>
      </c>
      <c r="F13" s="81" t="n">
        <v>1</v>
      </c>
      <c r="G13" s="49" t="inlineStr">
        <is>
          <t>IP</t>
        </is>
      </c>
      <c r="H13" s="49" t="n"/>
      <c r="I13" s="81" t="n">
        <v>10</v>
      </c>
      <c r="J13" s="81" t="n">
        <v>12</v>
      </c>
      <c r="K13" s="49" t="inlineStr">
        <is>
          <t>L500</t>
        </is>
      </c>
    </row>
    <row r="14">
      <c r="A14" s="81" t="inlineStr">
        <is>
          <t>Brick</t>
        </is>
      </c>
      <c r="B14" s="49" t="inlineStr">
        <is>
          <t>Ranked independent</t>
        </is>
      </c>
      <c r="C14" s="81" t="n">
        <v>1</v>
      </c>
      <c r="D14" s="81" t="n">
        <v>2</v>
      </c>
      <c r="E14" s="81" t="n">
        <v>0</v>
      </c>
      <c r="F14" s="81" t="n">
        <v>2</v>
      </c>
      <c r="G14" s="49" t="inlineStr">
        <is>
          <t>Real estate</t>
        </is>
      </c>
      <c r="H14" s="49" t="n"/>
      <c r="I14" s="81" t="n"/>
      <c r="J14" s="81" t="n"/>
      <c r="K14" s="49" t="n"/>
    </row>
    <row r="15">
      <c r="A15" s="81" t="inlineStr">
        <is>
          <t>Kompass</t>
        </is>
      </c>
      <c r="B15" s="49" t="inlineStr">
        <is>
          <t>Ranked independent</t>
        </is>
      </c>
      <c r="C15" s="81" t="n">
        <v>2</v>
      </c>
      <c r="D15" s="81" t="n">
        <v>1</v>
      </c>
      <c r="E15" s="81" t="n">
        <v>0</v>
      </c>
      <c r="F15" s="81" t="n">
        <v>3</v>
      </c>
      <c r="G15" s="49" t="inlineStr">
        <is>
          <t>Insurance</t>
        </is>
      </c>
      <c r="H15" s="49" t="n"/>
      <c r="I15" s="81" t="n">
        <v>4</v>
      </c>
      <c r="J15" s="81" t="n">
        <v>15</v>
      </c>
      <c r="K15" s="49" t="inlineStr">
        <is>
          <t>L500</t>
        </is>
      </c>
    </row>
    <row r="16">
      <c r="A16" s="81" t="inlineStr">
        <is>
          <t>A1 Advokater</t>
        </is>
      </c>
      <c r="B16" s="49" t="inlineStr">
        <is>
          <t>Ranked independent</t>
        </is>
      </c>
      <c r="C16" s="81" t="n">
        <v>1</v>
      </c>
      <c r="D16" s="81" t="n">
        <v>1</v>
      </c>
      <c r="E16" s="81" t="n">
        <v>0</v>
      </c>
      <c r="F16" s="81" t="n">
        <v>4</v>
      </c>
      <c r="G16" s="49" t="inlineStr">
        <is>
          <t>Dispute resolution</t>
        </is>
      </c>
      <c r="H16" s="49" t="n"/>
      <c r="I16" s="81" t="n"/>
      <c r="J16" s="81" t="n"/>
      <c r="K16" s="49" t="inlineStr">
        <is>
          <t>Chambers: 17 staff</t>
        </is>
      </c>
    </row>
    <row r="17">
      <c r="A17" s="81" t="inlineStr">
        <is>
          <t>Elmzell</t>
        </is>
      </c>
      <c r="B17" s="49" t="inlineStr">
        <is>
          <t>Ranked independent</t>
        </is>
      </c>
      <c r="C17" s="81" t="n">
        <v>1</v>
      </c>
      <c r="D17" s="81" t="n">
        <v>1</v>
      </c>
      <c r="E17" s="81" t="n">
        <v>0</v>
      </c>
      <c r="F17" s="81" t="n">
        <v>2</v>
      </c>
      <c r="G17" s="49" t="inlineStr">
        <is>
          <t>Employment</t>
        </is>
      </c>
      <c r="H17" s="49" t="n"/>
      <c r="I17" s="81" t="n"/>
      <c r="J17" s="81" t="n"/>
      <c r="K17" s="49" t="n"/>
    </row>
    <row r="18">
      <c r="A18" s="81" t="inlineStr">
        <is>
          <t>Fröberg &amp; Lundholm</t>
        </is>
      </c>
      <c r="B18" s="49" t="inlineStr">
        <is>
          <t>Ranked independent</t>
        </is>
      </c>
      <c r="C18" s="81" t="n">
        <v>1</v>
      </c>
      <c r="D18" s="81" t="n">
        <v>1</v>
      </c>
      <c r="E18" s="81" t="n">
        <v>0</v>
      </c>
      <c r="F18" s="81" t="n">
        <v>1</v>
      </c>
      <c r="G18" s="49" t="inlineStr">
        <is>
          <t>Environment</t>
        </is>
      </c>
      <c r="H18" s="49" t="n"/>
      <c r="I18" s="81" t="n"/>
      <c r="J18" s="81" t="n"/>
      <c r="K18" s="49" t="n"/>
    </row>
    <row r="19">
      <c r="A19" s="81" t="inlineStr">
        <is>
          <t>Gulliksson</t>
        </is>
      </c>
      <c r="B19" s="49" t="inlineStr">
        <is>
          <t>Ranked independent</t>
        </is>
      </c>
      <c r="C19" s="81" t="n">
        <v>1</v>
      </c>
      <c r="D19" s="81" t="n">
        <v>1</v>
      </c>
      <c r="E19" s="81" t="n">
        <v>0</v>
      </c>
      <c r="F19" s="81" t="n">
        <v>2</v>
      </c>
      <c r="G19" s="49" t="inlineStr">
        <is>
          <t>IP</t>
        </is>
      </c>
      <c r="H19" s="49" t="n"/>
      <c r="I19" s="81" t="n"/>
      <c r="J19" s="81" t="n">
        <v>41</v>
      </c>
      <c r="K19" s="49" t="inlineStr">
        <is>
          <t>L500</t>
        </is>
      </c>
    </row>
    <row r="20">
      <c r="A20" s="81" t="inlineStr">
        <is>
          <t>Harvest</t>
        </is>
      </c>
      <c r="B20" s="49" t="inlineStr">
        <is>
          <t>Ranked independent</t>
        </is>
      </c>
      <c r="C20" s="81" t="n">
        <v>0</v>
      </c>
      <c r="D20" s="81" t="n">
        <v>2</v>
      </c>
      <c r="E20" s="81" t="n">
        <v>0</v>
      </c>
      <c r="F20" s="81" t="n">
        <v>3</v>
      </c>
      <c r="G20" s="49" t="inlineStr">
        <is>
          <t>Banking &amp; finance; Fintech</t>
        </is>
      </c>
      <c r="H20" s="49" t="n"/>
      <c r="I20" s="81" t="n">
        <v>5</v>
      </c>
      <c r="J20" s="81" t="n">
        <v>27</v>
      </c>
      <c r="K20" s="49" t="inlineStr">
        <is>
          <t>Firm website, Oct-26</t>
        </is>
      </c>
    </row>
    <row r="21">
      <c r="A21" s="81" t="inlineStr">
        <is>
          <t>Norburg &amp; Scherp</t>
        </is>
      </c>
      <c r="B21" s="49" t="inlineStr">
        <is>
          <t>Ranked independent</t>
        </is>
      </c>
      <c r="C21" s="81" t="n">
        <v>1</v>
      </c>
      <c r="D21" s="81" t="n">
        <v>1</v>
      </c>
      <c r="E21" s="81" t="n">
        <v>0</v>
      </c>
      <c r="F21" s="81" t="n">
        <v>3</v>
      </c>
      <c r="G21" s="49" t="inlineStr">
        <is>
          <t>Dispute resolution</t>
        </is>
      </c>
      <c r="H21" s="49" t="n"/>
      <c r="I21" s="81" t="n"/>
      <c r="J21" s="81" t="n">
        <v>18</v>
      </c>
      <c r="K21" s="49" t="inlineStr">
        <is>
          <t>L500</t>
        </is>
      </c>
    </row>
    <row r="22">
      <c r="A22" s="81" t="inlineStr">
        <is>
          <t>Norma</t>
        </is>
      </c>
      <c r="B22" s="49" t="inlineStr">
        <is>
          <t>Ranked independent</t>
        </is>
      </c>
      <c r="C22" s="81" t="n">
        <v>0</v>
      </c>
      <c r="D22" s="81" t="n">
        <v>2</v>
      </c>
      <c r="E22" s="81" t="n">
        <v>0</v>
      </c>
      <c r="F22" s="81" t="n">
        <v>4</v>
      </c>
      <c r="G22" s="49" t="inlineStr">
        <is>
          <t>Real estate</t>
        </is>
      </c>
      <c r="H22" s="49" t="n"/>
      <c r="I22" s="81" t="n"/>
      <c r="J22" s="81" t="n"/>
      <c r="K22" s="49" t="n"/>
    </row>
    <row r="23">
      <c r="A23" s="81" t="inlineStr">
        <is>
          <t>RE:FI STHLM</t>
        </is>
      </c>
      <c r="B23" s="49" t="inlineStr">
        <is>
          <t>Ranked independent</t>
        </is>
      </c>
      <c r="C23" s="81" t="n">
        <v>1</v>
      </c>
      <c r="D23" s="81" t="n">
        <v>1</v>
      </c>
      <c r="E23" s="81" t="n">
        <v>0</v>
      </c>
      <c r="F23" s="81" t="n">
        <v>3</v>
      </c>
      <c r="G23" s="49" t="inlineStr">
        <is>
          <t>Banking &amp; finance</t>
        </is>
      </c>
      <c r="H23" s="49" t="n"/>
      <c r="I23" s="81" t="n"/>
      <c r="J23" s="81" t="n"/>
      <c r="K23" s="49" t="n"/>
    </row>
    <row r="24">
      <c r="A24" s="81" t="inlineStr">
        <is>
          <t>REAL Advokatbyrå</t>
        </is>
      </c>
      <c r="B24" s="49" t="inlineStr">
        <is>
          <t>Ranked independent</t>
        </is>
      </c>
      <c r="C24" s="81" t="n">
        <v>1</v>
      </c>
      <c r="D24" s="81" t="n">
        <v>1</v>
      </c>
      <c r="E24" s="81" t="n">
        <v>0</v>
      </c>
      <c r="F24" s="81" t="n">
        <v>2</v>
      </c>
      <c r="G24" s="49" t="inlineStr">
        <is>
          <t>Real estate</t>
        </is>
      </c>
      <c r="H24" s="49" t="n"/>
      <c r="I24" s="81" t="n">
        <v>5</v>
      </c>
      <c r="J24" s="81" t="n">
        <v>20</v>
      </c>
      <c r="K24" s="49" t="inlineStr">
        <is>
          <t>L500/Chambers</t>
        </is>
      </c>
    </row>
    <row r="25">
      <c r="A25" s="81" t="inlineStr">
        <is>
          <t>Skierfe</t>
        </is>
      </c>
      <c r="B25" s="49" t="inlineStr">
        <is>
          <t>Ranked independent</t>
        </is>
      </c>
      <c r="C25" s="81" t="n">
        <v>1</v>
      </c>
      <c r="D25" s="81" t="n">
        <v>1</v>
      </c>
      <c r="E25" s="81" t="n">
        <v>0</v>
      </c>
      <c r="F25" s="81" t="n">
        <v>3</v>
      </c>
      <c r="G25" s="49" t="inlineStr">
        <is>
          <t>Real estate</t>
        </is>
      </c>
      <c r="H25" s="49" t="n"/>
      <c r="I25" s="81" t="n"/>
      <c r="J25" s="81" t="n"/>
      <c r="K25" s="49" t="n"/>
    </row>
    <row r="26">
      <c r="A26" s="81" t="inlineStr">
        <is>
          <t>Ström</t>
        </is>
      </c>
      <c r="B26" s="49" t="inlineStr">
        <is>
          <t>Ranked independent</t>
        </is>
      </c>
      <c r="C26" s="81" t="n">
        <v>1</v>
      </c>
      <c r="D26" s="81" t="n">
        <v>1</v>
      </c>
      <c r="E26" s="81" t="n">
        <v>0</v>
      </c>
      <c r="F26" s="81" t="n">
        <v>2</v>
      </c>
      <c r="G26" s="49" t="inlineStr">
        <is>
          <t>IP</t>
        </is>
      </c>
      <c r="H26" s="49" t="n"/>
      <c r="I26" s="81" t="n">
        <v>5</v>
      </c>
      <c r="J26" s="81" t="n"/>
      <c r="K26" s="49" t="inlineStr">
        <is>
          <t>Chambers</t>
        </is>
      </c>
    </row>
    <row r="27">
      <c r="A27" s="81" t="inlineStr">
        <is>
          <t>Ulfsdotter</t>
        </is>
      </c>
      <c r="B27" s="49" t="inlineStr">
        <is>
          <t>Ranked independent</t>
        </is>
      </c>
      <c r="C27" s="81" t="n">
        <v>1</v>
      </c>
      <c r="D27" s="81" t="n">
        <v>1</v>
      </c>
      <c r="E27" s="81" t="n">
        <v>0</v>
      </c>
      <c r="F27" s="81" t="n">
        <v>2</v>
      </c>
      <c r="G27" s="49" t="inlineStr">
        <is>
          <t>Public procurement</t>
        </is>
      </c>
      <c r="H27" s="49" t="n"/>
      <c r="I27" s="81" t="n"/>
      <c r="J27" s="81" t="n"/>
      <c r="K27" s="49" t="n"/>
    </row>
    <row r="28">
      <c r="A28" s="81" t="inlineStr">
        <is>
          <t>Wallin &amp; Partners</t>
        </is>
      </c>
      <c r="B28" s="49" t="inlineStr">
        <is>
          <t>Ranked independent</t>
        </is>
      </c>
      <c r="C28" s="81" t="n">
        <v>1</v>
      </c>
      <c r="D28" s="81" t="n">
        <v>1</v>
      </c>
      <c r="E28" s="81" t="n">
        <v>0</v>
      </c>
      <c r="F28" s="81" t="n">
        <v>3</v>
      </c>
      <c r="G28" s="49" t="inlineStr">
        <is>
          <t>Dispute resolution</t>
        </is>
      </c>
      <c r="H28" s="49" t="n"/>
      <c r="I28" s="81" t="n"/>
      <c r="J28" s="81" t="n"/>
      <c r="K28" s="49" t="n"/>
    </row>
    <row r="29">
      <c r="A29" s="81" t="inlineStr">
        <is>
          <t>edpLaw</t>
        </is>
      </c>
      <c r="B29" s="49" t="inlineStr">
        <is>
          <t>Ranked independent</t>
        </is>
      </c>
      <c r="C29" s="81" t="n">
        <v>0</v>
      </c>
      <c r="D29" s="81" t="n">
        <v>2</v>
      </c>
      <c r="E29" s="81" t="n">
        <v>0</v>
      </c>
      <c r="F29" s="81" t="n">
        <v>2</v>
      </c>
      <c r="G29" s="49" t="inlineStr">
        <is>
          <t>Data protection</t>
        </is>
      </c>
      <c r="H29" s="49" t="n"/>
      <c r="I29" s="81" t="n"/>
      <c r="J29" s="81" t="n"/>
      <c r="K29" s="49" t="n"/>
    </row>
    <row r="30">
      <c r="A30" s="81" t="inlineStr">
        <is>
          <t>AWA</t>
        </is>
      </c>
      <c r="B30" s="49" t="inlineStr">
        <is>
          <t>Ranked independent</t>
        </is>
      </c>
      <c r="C30" s="81" t="n">
        <v>0</v>
      </c>
      <c r="D30" s="81" t="n">
        <v>1</v>
      </c>
      <c r="E30" s="81" t="n">
        <v>0</v>
      </c>
      <c r="F30" s="81" t="n">
        <v>2</v>
      </c>
      <c r="G30" s="49" t="inlineStr">
        <is>
          <t>IP</t>
        </is>
      </c>
      <c r="H30" s="49" t="n"/>
      <c r="I30" s="81" t="n"/>
      <c r="J30" s="81" t="n"/>
      <c r="K30" s="49" t="n"/>
    </row>
    <row r="31">
      <c r="A31" s="81" t="inlineStr">
        <is>
          <t>Advokatfirman Malmstedt Law AB</t>
        </is>
      </c>
      <c r="B31" s="49" t="inlineStr">
        <is>
          <t>Ranked independent</t>
        </is>
      </c>
      <c r="C31" s="81" t="n">
        <v>0</v>
      </c>
      <c r="D31" s="81" t="n">
        <v>1</v>
      </c>
      <c r="E31" s="81" t="n">
        <v>0</v>
      </c>
      <c r="F31" s="81" t="n">
        <v>3</v>
      </c>
      <c r="G31" s="49" t="inlineStr">
        <is>
          <t>IP</t>
        </is>
      </c>
      <c r="H31" s="49" t="n"/>
      <c r="I31" s="81" t="n"/>
      <c r="J31" s="81" t="n"/>
      <c r="K31" s="49" t="n"/>
    </row>
    <row r="32">
      <c r="A32" s="81" t="inlineStr">
        <is>
          <t>Advokatfirman MarLaw AB</t>
        </is>
      </c>
      <c r="B32" s="49" t="inlineStr">
        <is>
          <t>Ranked independent</t>
        </is>
      </c>
      <c r="C32" s="81" t="n">
        <v>0</v>
      </c>
      <c r="D32" s="81" t="n">
        <v>1</v>
      </c>
      <c r="E32" s="81" t="n">
        <v>0</v>
      </c>
      <c r="F32" s="81" t="n">
        <v>4</v>
      </c>
      <c r="G32" s="49" t="inlineStr">
        <is>
          <t>IP</t>
        </is>
      </c>
      <c r="H32" s="49" t="n"/>
      <c r="I32" s="81" t="n"/>
      <c r="J32" s="81" t="n"/>
      <c r="K32" s="49" t="n"/>
    </row>
    <row r="33">
      <c r="A33" s="81" t="inlineStr">
        <is>
          <t>Advokatfirman Åberg &amp; Co AB</t>
        </is>
      </c>
      <c r="B33" s="49" t="inlineStr">
        <is>
          <t>Ranked independent</t>
        </is>
      </c>
      <c r="C33" s="81" t="n">
        <v>1</v>
      </c>
      <c r="D33" s="81" t="n">
        <v>0</v>
      </c>
      <c r="E33" s="81" t="n">
        <v>0</v>
      </c>
      <c r="F33" s="81" t="n">
        <v>3</v>
      </c>
      <c r="G33" s="49" t="inlineStr">
        <is>
          <t>Environment</t>
        </is>
      </c>
      <c r="H33" s="49" t="n"/>
      <c r="I33" s="81" t="n"/>
      <c r="J33" s="81" t="n"/>
      <c r="K33" s="49" t="n"/>
    </row>
    <row r="34">
      <c r="A34" s="81" t="inlineStr">
        <is>
          <t>Affärsadvokaterna i Sverige AB</t>
        </is>
      </c>
      <c r="B34" s="49" t="inlineStr">
        <is>
          <t>Ranked independent</t>
        </is>
      </c>
      <c r="C34" s="81" t="n">
        <v>0</v>
      </c>
      <c r="D34" s="81" t="n">
        <v>1</v>
      </c>
      <c r="E34" s="81" t="n">
        <v>1</v>
      </c>
      <c r="F34" s="81" t="n">
        <v>4</v>
      </c>
      <c r="G34" s="49" t="inlineStr">
        <is>
          <t>IT / TMT</t>
        </is>
      </c>
      <c r="H34" s="49" t="inlineStr">
        <is>
          <t>Data protection</t>
        </is>
      </c>
      <c r="I34" s="81" t="n"/>
      <c r="J34" s="81" t="n"/>
      <c r="K34" s="49" t="n"/>
    </row>
    <row r="35">
      <c r="A35" s="81" t="inlineStr">
        <is>
          <t>Alrutz' Advokatbyrå</t>
        </is>
      </c>
      <c r="B35" s="49" t="inlineStr">
        <is>
          <t>Ranked independent</t>
        </is>
      </c>
      <c r="C35" s="81" t="n">
        <v>1</v>
      </c>
      <c r="D35" s="81" t="n">
        <v>0</v>
      </c>
      <c r="E35" s="81" t="n">
        <v>0</v>
      </c>
      <c r="F35" s="81" t="n">
        <v>3</v>
      </c>
      <c r="G35" s="49" t="inlineStr">
        <is>
          <t>Environment</t>
        </is>
      </c>
      <c r="H35" s="49" t="n"/>
      <c r="I35" s="81" t="n"/>
      <c r="J35" s="81" t="n"/>
      <c r="K35" s="49" t="n"/>
    </row>
    <row r="36">
      <c r="A36" s="81" t="inlineStr">
        <is>
          <t>Andulf</t>
        </is>
      </c>
      <c r="B36" s="49" t="inlineStr">
        <is>
          <t>Ranked independent</t>
        </is>
      </c>
      <c r="C36" s="81" t="n">
        <v>1</v>
      </c>
      <c r="D36" s="81" t="n">
        <v>0</v>
      </c>
      <c r="E36" s="81" t="n">
        <v>0</v>
      </c>
      <c r="F36" s="81" t="n">
        <v>1</v>
      </c>
      <c r="G36" s="49" t="inlineStr">
        <is>
          <t>PE fund formation</t>
        </is>
      </c>
      <c r="H36" s="49" t="n"/>
      <c r="I36" s="81" t="n"/>
      <c r="J36" s="81" t="n"/>
      <c r="K36" s="49" t="n"/>
    </row>
    <row r="37">
      <c r="A37" s="81" t="inlineStr">
        <is>
          <t>Carler</t>
        </is>
      </c>
      <c r="B37" s="49" t="inlineStr">
        <is>
          <t>Ranked independent</t>
        </is>
      </c>
      <c r="C37" s="81" t="n">
        <v>1</v>
      </c>
      <c r="D37" s="81" t="n">
        <v>0</v>
      </c>
      <c r="E37" s="81" t="n">
        <v>0</v>
      </c>
      <c r="F37" s="81" t="n">
        <v>3</v>
      </c>
      <c r="G37" s="49" t="inlineStr">
        <is>
          <t>Insolvency trustees</t>
        </is>
      </c>
      <c r="H37" s="49" t="n"/>
      <c r="I37" s="81" t="n">
        <v>7</v>
      </c>
      <c r="J37" s="81" t="n"/>
      <c r="K37" s="49" t="inlineStr">
        <is>
          <t>Chambers</t>
        </is>
      </c>
    </row>
    <row r="38">
      <c r="A38" s="81" t="inlineStr">
        <is>
          <t>DE Advokatbyrå AB</t>
        </is>
      </c>
      <c r="B38" s="49" t="inlineStr">
        <is>
          <t>Ranked independent</t>
        </is>
      </c>
      <c r="C38" s="81" t="n">
        <v>0</v>
      </c>
      <c r="D38" s="81" t="n">
        <v>1</v>
      </c>
      <c r="E38" s="81" t="n">
        <v>0</v>
      </c>
      <c r="F38" s="81" t="n">
        <v>3</v>
      </c>
      <c r="G38" s="49" t="inlineStr">
        <is>
          <t>Construction</t>
        </is>
      </c>
      <c r="H38" s="49" t="n"/>
      <c r="I38" s="81" t="n"/>
      <c r="J38" s="81" t="n"/>
      <c r="K38" s="49" t="n"/>
    </row>
    <row r="39">
      <c r="A39" s="81" t="inlineStr">
        <is>
          <t>Edel</t>
        </is>
      </c>
      <c r="B39" s="49" t="inlineStr">
        <is>
          <t>Ranked independent</t>
        </is>
      </c>
      <c r="C39" s="81" t="n">
        <v>1</v>
      </c>
      <c r="D39" s="81" t="n">
        <v>0</v>
      </c>
      <c r="E39" s="81" t="n">
        <v>0</v>
      </c>
      <c r="F39" s="81" t="n">
        <v>4</v>
      </c>
      <c r="G39" s="49" t="inlineStr">
        <is>
          <t>Real estate</t>
        </is>
      </c>
      <c r="H39" s="49" t="n"/>
      <c r="I39" s="81" t="n"/>
      <c r="J39" s="81" t="n"/>
      <c r="K39" s="49" t="n"/>
    </row>
    <row r="40">
      <c r="A40" s="81" t="inlineStr">
        <is>
          <t>Forssander Sonander Advokat</t>
        </is>
      </c>
      <c r="B40" s="49" t="inlineStr">
        <is>
          <t>Ranked independent</t>
        </is>
      </c>
      <c r="C40" s="81" t="n">
        <v>0</v>
      </c>
      <c r="D40" s="81" t="n">
        <v>1</v>
      </c>
      <c r="E40" s="81" t="n">
        <v>0</v>
      </c>
      <c r="F40" s="81" t="n">
        <v>3</v>
      </c>
      <c r="G40" s="49" t="inlineStr">
        <is>
          <t>Employment</t>
        </is>
      </c>
      <c r="H40" s="49" t="n"/>
      <c r="I40" s="81" t="n"/>
      <c r="J40" s="81" t="n"/>
      <c r="K40" s="49" t="n"/>
    </row>
    <row r="41">
      <c r="A41" s="81" t="inlineStr">
        <is>
          <t>Merino</t>
        </is>
      </c>
      <c r="B41" s="49" t="inlineStr">
        <is>
          <t>Ranked independent</t>
        </is>
      </c>
      <c r="C41" s="81" t="n">
        <v>0</v>
      </c>
      <c r="D41" s="81" t="n">
        <v>1</v>
      </c>
      <c r="E41" s="81" t="n">
        <v>0</v>
      </c>
      <c r="F41" s="81" t="n">
        <v>4</v>
      </c>
      <c r="G41" s="49" t="inlineStr">
        <is>
          <t>Restructuring / insolvency</t>
        </is>
      </c>
      <c r="H41" s="49" t="n"/>
      <c r="I41" s="81" t="n"/>
      <c r="J41" s="81" t="n"/>
      <c r="K41" s="49" t="n"/>
    </row>
    <row r="42">
      <c r="A42" s="81" t="inlineStr">
        <is>
          <t>Wimert Lundgren Advokatbyrå</t>
        </is>
      </c>
      <c r="B42" s="49" t="inlineStr">
        <is>
          <t>Ranked independent</t>
        </is>
      </c>
      <c r="C42" s="81" t="n">
        <v>0</v>
      </c>
      <c r="D42" s="81" t="n">
        <v>1</v>
      </c>
      <c r="E42" s="81" t="n">
        <v>0</v>
      </c>
      <c r="F42" s="81" t="n">
        <v>4</v>
      </c>
      <c r="G42" s="49" t="inlineStr">
        <is>
          <t>Construction</t>
        </is>
      </c>
      <c r="H42" s="49" t="n"/>
      <c r="I42" s="81" t="n"/>
      <c r="J42" s="81" t="n"/>
      <c r="K42" s="49" t="n"/>
    </row>
    <row r="43">
      <c r="A43" s="81" t="inlineStr">
        <is>
          <t>Zacco</t>
        </is>
      </c>
      <c r="B43" s="49" t="inlineStr">
        <is>
          <t>Ranked independent</t>
        </is>
      </c>
      <c r="C43" s="81" t="n">
        <v>0</v>
      </c>
      <c r="D43" s="81" t="n">
        <v>1</v>
      </c>
      <c r="E43" s="81" t="n">
        <v>0</v>
      </c>
      <c r="F43" s="81" t="n">
        <v>3</v>
      </c>
      <c r="G43" s="49" t="inlineStr">
        <is>
          <t>IP</t>
        </is>
      </c>
      <c r="H43" s="49" t="n"/>
      <c r="I43" s="81" t="n"/>
      <c r="J43" s="81" t="n"/>
      <c r="K43" s="49" t="n"/>
    </row>
    <row r="44">
      <c r="A44" s="78" t="inlineStr">
        <is>
          <t>TM &amp; Partners</t>
        </is>
      </c>
      <c r="B44" s="69" t="inlineStr">
        <is>
          <t>Ranked independent: PE-owned (AGRD / Axcel)</t>
        </is>
      </c>
      <c r="C44" s="78" t="n">
        <v>5</v>
      </c>
      <c r="D44" s="78" t="n">
        <v>11</v>
      </c>
      <c r="E44" s="78" t="n">
        <v>0</v>
      </c>
      <c r="F44" s="78" t="n">
        <v>2</v>
      </c>
      <c r="G44" s="69" t="inlineStr">
        <is>
          <t>Employment</t>
        </is>
      </c>
      <c r="H44" s="69" t="n"/>
      <c r="I44" s="78" t="n">
        <v>18</v>
      </c>
      <c r="J44" s="78" t="n">
        <v>63</v>
      </c>
      <c r="K44" s="69" t="inlineStr">
        <is>
          <t>Firm website, Oct-26</t>
        </is>
      </c>
    </row>
    <row r="45">
      <c r="A45" s="78" t="inlineStr">
        <is>
          <t>Morris Law</t>
        </is>
      </c>
      <c r="B45" s="69" t="inlineStr">
        <is>
          <t>Ranked independent: PE-owned (AGRD / Axcel)</t>
        </is>
      </c>
      <c r="C45" s="78" t="n">
        <v>2</v>
      </c>
      <c r="D45" s="78" t="n">
        <v>9</v>
      </c>
      <c r="E45" s="78" t="n">
        <v>0</v>
      </c>
      <c r="F45" s="78" t="n">
        <v>2</v>
      </c>
      <c r="G45" s="69" t="inlineStr">
        <is>
          <t>Employment; Environment</t>
        </is>
      </c>
      <c r="H45" s="69" t="n"/>
      <c r="I45" s="78" t="n"/>
      <c r="J45" s="78" t="n">
        <v>56</v>
      </c>
      <c r="K45" s="69" t="inlineStr">
        <is>
          <t>L500</t>
        </is>
      </c>
    </row>
    <row r="46">
      <c r="A46" s="78" t="inlineStr">
        <is>
          <t>Synch</t>
        </is>
      </c>
      <c r="B46" s="69" t="inlineStr">
        <is>
          <t>Ranked independent: PE-owned (AGRD / Axcel)</t>
        </is>
      </c>
      <c r="C46" s="78" t="n">
        <v>2</v>
      </c>
      <c r="D46" s="78" t="n">
        <v>7</v>
      </c>
      <c r="E46" s="78" t="n">
        <v>0</v>
      </c>
      <c r="F46" s="78" t="n">
        <v>2</v>
      </c>
      <c r="G46" s="69" t="inlineStr">
        <is>
          <t>IP</t>
        </is>
      </c>
      <c r="H46" s="69" t="n"/>
      <c r="I46" s="78" t="n">
        <v>9</v>
      </c>
      <c r="J46" s="78" t="n">
        <v>38</v>
      </c>
      <c r="K46" s="69" t="inlineStr">
        <is>
          <t>Firm website, Oct-26</t>
        </is>
      </c>
    </row>
    <row r="47">
      <c r="A47" s="78" t="inlineStr">
        <is>
          <t>Next Law</t>
        </is>
      </c>
      <c r="B47" s="69" t="inlineStr">
        <is>
          <t>Ranked independent: PE-owned (AGRD / Axcel)</t>
        </is>
      </c>
      <c r="C47" s="78" t="n">
        <v>1</v>
      </c>
      <c r="D47" s="78" t="n">
        <v>4</v>
      </c>
      <c r="E47" s="78" t="n">
        <v>0</v>
      </c>
      <c r="F47" s="78" t="n">
        <v>2</v>
      </c>
      <c r="G47" s="69" t="inlineStr">
        <is>
          <t>Shipping</t>
        </is>
      </c>
      <c r="H47" s="69" t="n"/>
      <c r="I47" s="78" t="n"/>
      <c r="J47" s="78" t="n"/>
      <c r="K47" s="69" t="n"/>
    </row>
    <row r="48">
      <c r="A48" s="78" t="inlineStr">
        <is>
          <t>Born</t>
        </is>
      </c>
      <c r="B48" s="69" t="inlineStr">
        <is>
          <t>Ranked independent: PE-owned (AGRD / Axcel)</t>
        </is>
      </c>
      <c r="C48" s="78" t="n">
        <v>1</v>
      </c>
      <c r="D48" s="78" t="n">
        <v>1</v>
      </c>
      <c r="E48" s="78" t="n">
        <v>0</v>
      </c>
      <c r="F48" s="78" t="n">
        <v>3</v>
      </c>
      <c r="G48" s="69" t="inlineStr">
        <is>
          <t>Real estate</t>
        </is>
      </c>
      <c r="H48" s="69" t="n"/>
      <c r="I48" s="78" t="n">
        <v>9</v>
      </c>
      <c r="J48" s="78" t="n">
        <v>26</v>
      </c>
      <c r="K48" s="69" t="inlineStr">
        <is>
          <t>Firm website, Oct-26</t>
        </is>
      </c>
    </row>
    <row r="49">
      <c r="A49" s="78" t="inlineStr">
        <is>
          <t>Allié</t>
        </is>
      </c>
      <c r="B49" s="69" t="inlineStr">
        <is>
          <t>Ranked independent: PE-owned (AGRD / Axcel)</t>
        </is>
      </c>
      <c r="C49" s="78" t="n">
        <v>0</v>
      </c>
      <c r="D49" s="78" t="n">
        <v>1</v>
      </c>
      <c r="E49" s="78" t="n">
        <v>0</v>
      </c>
      <c r="F49" s="78" t="n">
        <v>4</v>
      </c>
      <c r="G49" s="69" t="inlineStr">
        <is>
          <t>Real estate</t>
        </is>
      </c>
      <c r="H49" s="69" t="n"/>
      <c r="I49" s="78" t="n"/>
      <c r="J49" s="78" t="n"/>
      <c r="K49" s="69" t="n"/>
    </row>
    <row r="50">
      <c r="A50" s="83" t="inlineStr">
        <is>
          <t>Hammarskiöld</t>
        </is>
      </c>
      <c r="B50" s="71" t="inlineStr">
        <is>
          <t>Borderline: Mid-size full-service</t>
        </is>
      </c>
      <c r="C50" s="83" t="n">
        <v>4</v>
      </c>
      <c r="D50" s="83" t="n">
        <v>10</v>
      </c>
      <c r="E50" s="83" t="n">
        <v>0</v>
      </c>
      <c r="F50" s="83" t="n">
        <v>2</v>
      </c>
      <c r="G50" s="71" t="inlineStr">
        <is>
          <t>Banking &amp; finance; Healthcare / life sciences</t>
        </is>
      </c>
      <c r="H50" s="71" t="n"/>
      <c r="I50" s="83" t="n"/>
      <c r="J50" s="83" t="n">
        <v>47</v>
      </c>
      <c r="K50" s="71" t="inlineStr">
        <is>
          <t>Chambers</t>
        </is>
      </c>
    </row>
    <row r="51">
      <c r="A51" s="83" t="inlineStr">
        <is>
          <t>Wigge &amp; Partners</t>
        </is>
      </c>
      <c r="B51" s="71" t="inlineStr">
        <is>
          <t>Borderline: Mid-size corporate</t>
        </is>
      </c>
      <c r="C51" s="83" t="n">
        <v>5</v>
      </c>
      <c r="D51" s="83" t="n">
        <v>3</v>
      </c>
      <c r="E51" s="83" t="n">
        <v>0</v>
      </c>
      <c r="F51" s="83" t="n">
        <v>1</v>
      </c>
      <c r="G51" s="71" t="inlineStr">
        <is>
          <t>Real estate</t>
        </is>
      </c>
      <c r="H51" s="71" t="n"/>
      <c r="I51" s="83" t="n">
        <v>11</v>
      </c>
      <c r="J51" s="83" t="n">
        <v>40</v>
      </c>
      <c r="K51" s="71" t="inlineStr">
        <is>
          <t>Firm website, Oct-26</t>
        </is>
      </c>
    </row>
    <row r="52">
      <c r="A52" s="83" t="inlineStr">
        <is>
          <t>Fylgia</t>
        </is>
      </c>
      <c r="B52" s="71" t="inlineStr">
        <is>
          <t>Borderline: Mid-size full-service</t>
        </is>
      </c>
      <c r="C52" s="83" t="n">
        <v>1</v>
      </c>
      <c r="D52" s="83" t="n">
        <v>6</v>
      </c>
      <c r="E52" s="83" t="n">
        <v>0</v>
      </c>
      <c r="F52" s="83" t="n">
        <v>2</v>
      </c>
      <c r="G52" s="71" t="inlineStr">
        <is>
          <t>Public procurement; Restructuring / insolvency</t>
        </is>
      </c>
      <c r="H52" s="71" t="n"/>
      <c r="I52" s="83" t="n">
        <v>21</v>
      </c>
      <c r="J52" s="83" t="n">
        <v>35</v>
      </c>
      <c r="K52" s="71" t="inlineStr">
        <is>
          <t>Firm website, Oct-26</t>
        </is>
      </c>
    </row>
    <row r="53">
      <c r="A53" s="83" t="inlineStr">
        <is>
          <t>Foyen</t>
        </is>
      </c>
      <c r="B53" s="71" t="inlineStr">
        <is>
          <t>Borderline: Mid-size full-service</t>
        </is>
      </c>
      <c r="C53" s="83" t="n">
        <v>0</v>
      </c>
      <c r="D53" s="83" t="n">
        <v>6</v>
      </c>
      <c r="E53" s="83" t="n">
        <v>0</v>
      </c>
      <c r="F53" s="83" t="n">
        <v>2</v>
      </c>
      <c r="G53" s="71" t="inlineStr">
        <is>
          <t>Construction; Energy; Environment</t>
        </is>
      </c>
      <c r="H53" s="71" t="n"/>
      <c r="I53" s="83" t="n">
        <v>23</v>
      </c>
      <c r="J53" s="83" t="n">
        <v>73</v>
      </c>
      <c r="K53" s="71" t="inlineStr">
        <is>
          <t>Firm website, Oct-26</t>
        </is>
      </c>
    </row>
    <row r="54">
      <c r="A54" s="83" t="inlineStr">
        <is>
          <t>Kanter</t>
        </is>
      </c>
      <c r="B54" s="71" t="inlineStr">
        <is>
          <t>Borderline: Mid-size corporate</t>
        </is>
      </c>
      <c r="C54" s="83" t="n">
        <v>3</v>
      </c>
      <c r="D54" s="83" t="n">
        <v>0</v>
      </c>
      <c r="E54" s="83" t="n">
        <v>0</v>
      </c>
      <c r="F54" s="83" t="n">
        <v>4</v>
      </c>
      <c r="G54" s="71" t="inlineStr">
        <is>
          <t>IP; Private equity</t>
        </is>
      </c>
      <c r="H54" s="71" t="n"/>
      <c r="I54" s="83" t="n">
        <v>13</v>
      </c>
      <c r="J54" s="83" t="n">
        <v>39</v>
      </c>
      <c r="K54" s="71" t="inlineStr">
        <is>
          <t>Chambers (IFLR1000: 10 partners / Realtid: 21 lawyers; conflicting)</t>
        </is>
      </c>
    </row>
    <row r="55">
      <c r="A55" s="80" t="inlineStr">
        <is>
          <t>HC Advokat AB</t>
        </is>
      </c>
      <c r="B55" s="73" t="inlineStr">
        <is>
          <t>Legal 500 firm to watch only</t>
        </is>
      </c>
      <c r="C55" s="80" t="n">
        <v>0</v>
      </c>
      <c r="D55" s="80" t="n">
        <v>0</v>
      </c>
      <c r="E55" s="80" t="n">
        <v>1</v>
      </c>
      <c r="F55" s="80" t="n"/>
      <c r="G55" s="73" t="n"/>
      <c r="H55" s="73" t="inlineStr">
        <is>
          <t>Construction</t>
        </is>
      </c>
      <c r="I55" s="80" t="n"/>
      <c r="J55" s="80" t="n"/>
      <c r="K55" s="73" t="n"/>
    </row>
    <row r="56">
      <c r="A56" s="80" t="inlineStr">
        <is>
          <t>Pogona Advokatbyrå AB</t>
        </is>
      </c>
      <c r="B56" s="73" t="inlineStr">
        <is>
          <t>Legal 500 firm to watch only</t>
        </is>
      </c>
      <c r="C56" s="80" t="n">
        <v>0</v>
      </c>
      <c r="D56" s="80" t="n">
        <v>0</v>
      </c>
      <c r="E56" s="80" t="n">
        <v>1</v>
      </c>
      <c r="F56" s="80" t="n"/>
      <c r="G56" s="73" t="n"/>
      <c r="H56" s="73" t="inlineStr">
        <is>
          <t>Environment</t>
        </is>
      </c>
      <c r="I56" s="80" t="n"/>
      <c r="J56" s="80" t="n"/>
      <c r="K56" s="73" t="n"/>
    </row>
    <row r="58">
      <c r="A58" s="45" t="inlineStr">
        <is>
          <t>Best band/tier: 1 = top (Chambers band or Legal 500 tier, whichever is better). Yellow = PE-owned (AGRD, Axcel-backed roll-up formed Aug-2025); green = Legal 500 firm to watch only; grey = borderline mid-size firms.</t>
        </is>
      </c>
    </row>
    <row r="59">
      <c r="A59"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 Excluded (large Swedish full-service): Cederquist, Cirio, Delphi, Gernandt &amp; Danielsson, Lindahl, MAQS, Mannheimer Swartling, Setterwalls, Vinge.</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8" customWidth="1" min="2" max="2"/>
    <col width="8" customWidth="1" min="3" max="3"/>
    <col width="8"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6.5" customWidth="1" min="39" max="39"/>
    <col width="6.5" customWidth="1" min="40" max="40"/>
    <col width="6.5" customWidth="1" min="41" max="41"/>
    <col width="6.5" customWidth="1" min="42" max="42"/>
    <col width="6.5" customWidth="1" min="43" max="43"/>
    <col width="6.5" customWidth="1" min="44" max="44"/>
    <col width="6.5" customWidth="1" min="45" max="45"/>
    <col width="6.5" customWidth="1" min="46" max="46"/>
    <col width="6.5" customWidth="1" min="47" max="47"/>
    <col width="6.5" customWidth="1" min="48" max="48"/>
    <col width="6.5" customWidth="1" min="49" max="49"/>
    <col width="6.5" customWidth="1" min="50" max="50"/>
    <col width="6.5" customWidth="1" min="51" max="51"/>
    <col width="6.5" customWidth="1" min="52" max="52"/>
    <col width="6.5" customWidth="1" min="53" max="53"/>
    <col width="6.5" customWidth="1" min="54" max="54"/>
  </cols>
  <sheetData>
    <row r="1">
      <c r="A1" s="1" t="inlineStr">
        <is>
          <t>Section B. Chambers &amp; Legal 500 practice rankings: Sweden</t>
        </is>
      </c>
    </row>
    <row r="2" ht="45" customHeight="1">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min="1" max="1"/>
    <col width="11" customWidth="1" min="2" max="2"/>
    <col width="14" customWidth="1" min="3" max="3"/>
    <col width="24" customWidth="1" min="4" max="4"/>
    <col width="40" customWidth="1"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4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1" customWidth="1" min="3" max="3"/>
    <col width="10" customWidth="1" min="4" max="4"/>
    <col width="9" customWidth="1" min="5" max="5"/>
    <col width="10" customWidth="1" min="6" max="6"/>
    <col width="26" customWidth="1" min="7" max="7"/>
    <col width="9" customWidth="1" min="8" max="8"/>
    <col width="10" customWidth="1" min="9" max="9"/>
    <col width="10" customWidth="1" min="10" max="10"/>
    <col width="30" customWidth="1" min="11" max="11"/>
    <col width="10" customWidth="1" min="12" max="12"/>
    <col width="10" customWidth="1" min="13" max="13"/>
    <col width="10" customWidth="1" min="14" max="14"/>
    <col width="12" customWidth="1" min="15" max="15"/>
    <col width="12" customWidth="1" min="16" max="16"/>
    <col width="10" customWidth="1" min="17" max="17"/>
    <col width="40" customWidth="1" min="18" max="18"/>
  </cols>
  <sheetData>
    <row r="1">
      <c r="A1" s="1" t="inlineStr">
        <is>
          <t>Section C. Benchmarking: top 30 Swedish business law firms</t>
        </is>
      </c>
    </row>
    <row r="2" ht="45" customHeight="1">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1">
      <c r="A41" s="45" t="inlineStr">
        <is>
          <t>Units: SEK m; ratios in SEK m per head. Revenue per partner/employee/lawyer uses "Latest revenue" (column F).</t>
        </is>
      </c>
    </row>
    <row r="42">
      <c r="A42"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3">
      <c r="A43" s="45" t="inlineStr">
        <is>
          <t>Gaps: total employees not found for DLA Piper, Cederquist, Schjødt (Sweden), Glimstedt (Sweden only), TM &amp; Partners, Wigge, Fylgia, AG Advokat; partner counts missing for 9 firms. Limited partnerships (KB) file no public accounts.</t>
        </is>
      </c>
    </row>
  </sheetData>
  <mergeCells count="1">
    <mergeCell ref="A2:R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55"/>
  <sheetViews>
    <sheetView workbookViewId="0">
      <selection activeCell="A1" sqref="A1"/>
    </sheetView>
  </sheetViews>
  <sheetFormatPr baseColWidth="8" defaultRowHeight="15"/>
  <cols>
    <col width="26" customWidth="1" min="1" max="1"/>
    <col width="20" customWidth="1" min="2" max="2"/>
    <col width="28" customWidth="1" min="3" max="3"/>
    <col width="10" customWidth="1" min="4" max="4"/>
    <col width="10" customWidth="1" min="5" max="5"/>
    <col width="12" customWidth="1" min="6" max="6"/>
    <col width="12"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3" customWidth="1" min="16" max="16"/>
    <col width="40" customWidth="1" min="17" max="17"/>
    <col width="40" customWidth="1" min="18" max="18"/>
  </cols>
  <sheetData>
    <row r="1">
      <c r="A1" s="1" t="inlineStr">
        <is>
          <t>Section D. Rate card comparison: Swedish business law firms (SEK per hour, excl. VAT)</t>
        </is>
      </c>
    </row>
    <row r="2" ht="45" customHeight="1">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&gt; court/Chapter 11 filings (actual billed) &gt; public tender (discounted).</t>
        </is>
      </c>
    </row>
    <row r="4">
      <c r="A4" s="47" t="inlineStr">
        <is>
          <t>D1. Rate cards by level (list prices)</t>
        </is>
      </c>
    </row>
    <row r="5" ht="42" customHeight="1">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Partner mid vs legal-aid norm 2025 (x)</t>
        </is>
      </c>
      <c r="Q5" s="52" t="inlineStr">
        <is>
          <t>Level definitions in source</t>
        </is>
      </c>
      <c r="R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c r="R6" s="85" t="n"/>
    </row>
    <row r="7" ht="60" customHeight="1">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88">
        <f>M7/1586</f>
        <v/>
      </c>
      <c r="Q7" s="49" t="inlineStr">
        <is>
          <t>Junior Assoc 0-24 months; Associates 25-59 months; Senior Assoc / PDL / Specialist Counsel 60+ months; Partners / Senior Advisor</t>
        </is>
      </c>
      <c r="R7" s="49" t="inlineStr">
        <is>
          <t>Counsel band (4,550-8,000) overlaps partner band. Date to be confirmed.</t>
        </is>
      </c>
    </row>
    <row r="8" ht="60" customHeight="1">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88">
        <f>M8/1586</f>
        <v/>
      </c>
      <c r="Q8" s="49" t="inlineStr">
        <is>
          <t>Partners; Senior Associates; Associates; Junior Associates; Paralegals</t>
        </is>
      </c>
      <c r="R8" s="49" t="inlineStr">
        <is>
          <t>Time-incurred basis; open to alternative fee arrangements per project.</t>
        </is>
      </c>
    </row>
    <row r="9">
      <c r="A9" s="46" t="inlineStr">
        <is>
          <t>Difference: Mannheimer Swartling vs Cederquist (mid-points)</t>
        </is>
      </c>
      <c r="D9" s="89">
        <f>AVERAGE(D7:E7)/AVERAGE(D8:E8)-1</f>
        <v/>
      </c>
      <c r="F9" s="89">
        <f>AVERAGE(F7:G7)/AVERAGE(F8:G8)-1</f>
        <v/>
      </c>
      <c r="H9" s="89">
        <f>AVERAGE(H7:I7)/AVERAGE(H8:I8)-1</f>
        <v/>
      </c>
      <c r="J9" s="89">
        <f>AVERAGE(J7:K7)/AVERAGE(J8:K8)-1</f>
        <v/>
      </c>
    </row>
    <row r="11">
      <c r="A11" s="47" t="inlineStr">
        <is>
          <t>D2. Indicative firm-wide hourly ranges (third-party directory, low reliability)</t>
        </is>
      </c>
    </row>
    <row r="12">
      <c r="A12" s="52" t="inlineStr">
        <is>
          <t>Firm</t>
        </is>
      </c>
      <c r="B12" s="52" t="inlineStr">
        <is>
          <t>Accessed</t>
        </is>
      </c>
      <c r="C12" s="52" t="inlineStr">
        <is>
          <t>Source</t>
        </is>
      </c>
      <c r="D12" s="52" t="inlineStr">
        <is>
          <t>Low (~associate)</t>
        </is>
      </c>
      <c r="E12" s="52" t="inlineStr">
        <is>
          <t>High (~partner)</t>
        </is>
      </c>
      <c r="F12" s="52" t="inlineStr">
        <is>
          <t>Mid</t>
        </is>
      </c>
    </row>
    <row r="13">
      <c r="A13" s="49" t="inlineStr">
        <is>
          <t>Mannheimer Swartling</t>
        </is>
      </c>
      <c r="B13" s="49" t="inlineStr">
        <is>
          <t>Oct-2026 (undated on site)</t>
        </is>
      </c>
      <c r="C13" s="49" t="inlineStr">
        <is>
          <t>skatterätt.se firm pages (tax practice; no level split, no source)</t>
        </is>
      </c>
      <c r="D13" s="87" t="n">
        <v>4500</v>
      </c>
      <c r="E13" s="87" t="n">
        <v>8000</v>
      </c>
      <c r="F13" s="87">
        <f>AVERAGE(D13:E13)</f>
        <v/>
      </c>
    </row>
    <row r="14">
      <c r="A14" s="49" t="inlineStr">
        <is>
          <t>Roschier</t>
        </is>
      </c>
      <c r="B14" s="49" t="inlineStr">
        <is>
          <t>Oct-2026 (undated on site)</t>
        </is>
      </c>
      <c r="C14" s="49" t="inlineStr">
        <is>
          <t>skatterätt.se firm pages (tax practice; no level split, no source)</t>
        </is>
      </c>
      <c r="D14" s="87" t="n">
        <v>4200</v>
      </c>
      <c r="E14" s="87" t="n">
        <v>7000</v>
      </c>
      <c r="F14" s="87">
        <f>AVERAGE(D14:E14)</f>
        <v/>
      </c>
    </row>
    <row r="15">
      <c r="A15" s="49" t="inlineStr">
        <is>
          <t>Vinge</t>
        </is>
      </c>
      <c r="B15" s="49" t="inlineStr">
        <is>
          <t>Oct-2026 (undated on site)</t>
        </is>
      </c>
      <c r="C15" s="49" t="inlineStr">
        <is>
          <t>skatterätt.se firm pages (tax practice; no level split, no source)</t>
        </is>
      </c>
      <c r="D15" s="87" t="n">
        <v>4000</v>
      </c>
      <c r="E15" s="87" t="n">
        <v>7000</v>
      </c>
      <c r="F15" s="87">
        <f>AVERAGE(D15:E15)</f>
        <v/>
      </c>
    </row>
    <row r="16">
      <c r="A16" s="49" t="inlineStr">
        <is>
          <t>DLA Piper</t>
        </is>
      </c>
      <c r="B16" s="49" t="inlineStr">
        <is>
          <t>Oct-2026 (undated on site)</t>
        </is>
      </c>
      <c r="C16" s="49" t="inlineStr">
        <is>
          <t>skatterätt.se firm pages (tax practice; no level split, no source)</t>
        </is>
      </c>
      <c r="D16" s="87" t="n">
        <v>4000</v>
      </c>
      <c r="E16" s="87" t="n">
        <v>7000</v>
      </c>
      <c r="F16" s="87">
        <f>AVERAGE(D16:E16)</f>
        <v/>
      </c>
    </row>
    <row r="17">
      <c r="A17" s="49" t="inlineStr">
        <is>
          <t>Schjødt</t>
        </is>
      </c>
      <c r="B17" s="49" t="inlineStr">
        <is>
          <t>Oct-2026 (undated on site)</t>
        </is>
      </c>
      <c r="C17" s="49" t="inlineStr">
        <is>
          <t>skatterätt.se firm pages (tax practice; no level split, no source)</t>
        </is>
      </c>
      <c r="D17" s="87" t="n">
        <v>3800</v>
      </c>
      <c r="E17" s="87" t="n">
        <v>6500</v>
      </c>
      <c r="F17" s="87">
        <f>AVERAGE(D17:E17)</f>
        <v/>
      </c>
    </row>
    <row r="18">
      <c r="A18" s="49" t="inlineStr">
        <is>
          <t>Cederquist</t>
        </is>
      </c>
      <c r="B18" s="49" t="inlineStr">
        <is>
          <t>Oct-2026 (undated on site)</t>
        </is>
      </c>
      <c r="C18" s="49" t="inlineStr">
        <is>
          <t>skatterätt.se firm pages (tax practice; no level split, no source)</t>
        </is>
      </c>
      <c r="D18" s="87" t="n">
        <v>3800</v>
      </c>
      <c r="E18" s="87" t="n">
        <v>6500</v>
      </c>
      <c r="F18" s="87">
        <f>AVERAGE(D18:E18)</f>
        <v/>
      </c>
    </row>
    <row r="19">
      <c r="A19" s="49" t="inlineStr">
        <is>
          <t>Setterwalls</t>
        </is>
      </c>
      <c r="B19" s="49" t="inlineStr">
        <is>
          <t>Oct-2026 (undated on site)</t>
        </is>
      </c>
      <c r="C19" s="49" t="inlineStr">
        <is>
          <t>skatterätt.se firm pages (tax practice; no level split, no source)</t>
        </is>
      </c>
      <c r="D19" s="87" t="n">
        <v>3500</v>
      </c>
      <c r="E19" s="87" t="n">
        <v>6000</v>
      </c>
      <c r="F19" s="87">
        <f>AVERAGE(D19:E19)</f>
        <v/>
      </c>
    </row>
    <row r="20">
      <c r="A20" s="49" t="inlineStr">
        <is>
          <t>Bird &amp; Bird</t>
        </is>
      </c>
      <c r="B20" s="49" t="inlineStr">
        <is>
          <t>Oct-2026 (undated on site)</t>
        </is>
      </c>
      <c r="C20" s="49" t="inlineStr">
        <is>
          <t>skatterätt.se firm pages (tax practice; no level split, no source)</t>
        </is>
      </c>
      <c r="D20" s="87" t="n">
        <v>3500</v>
      </c>
      <c r="E20" s="87" t="n">
        <v>6000</v>
      </c>
      <c r="F20" s="87">
        <f>AVERAGE(D20:E20)</f>
        <v/>
      </c>
    </row>
    <row r="21">
      <c r="A21" s="49" t="inlineStr">
        <is>
          <t>Delphi</t>
        </is>
      </c>
      <c r="B21" s="49" t="inlineStr">
        <is>
          <t>Oct-2026 (undated on site)</t>
        </is>
      </c>
      <c r="C21" s="49" t="inlineStr">
        <is>
          <t>skatterätt.se firm pages (tax practice; no level split, no source)</t>
        </is>
      </c>
      <c r="D21" s="87" t="n">
        <v>3200</v>
      </c>
      <c r="E21" s="87" t="n">
        <v>5500</v>
      </c>
      <c r="F21" s="87">
        <f>AVERAGE(D21:E21)</f>
        <v/>
      </c>
    </row>
    <row r="22">
      <c r="A22" s="49" t="inlineStr">
        <is>
          <t>Lindahl</t>
        </is>
      </c>
      <c r="B22" s="49" t="inlineStr">
        <is>
          <t>Oct-2026 (undated on site)</t>
        </is>
      </c>
      <c r="C22" s="49" t="inlineStr">
        <is>
          <t>skatterätt.se firm pages (tax practice; no level split, no source)</t>
        </is>
      </c>
      <c r="D22" s="87" t="n">
        <v>3000</v>
      </c>
      <c r="E22" s="87" t="n">
        <v>5500</v>
      </c>
      <c r="F22" s="87">
        <f>AVERAGE(D22:E22)</f>
        <v/>
      </c>
    </row>
    <row r="23">
      <c r="A23" s="45" t="inlineStr">
        <is>
          <t>Example: https://www.xn--skattertt-12a.se/byra/vinge-skatt/ (Vinge: "Timarvode 4 000 till 7 000 kr"). Ranges may be estimates; use only for relative positioning.</t>
        </is>
      </c>
    </row>
    <row r="25">
      <c r="A25" s="47" t="inlineStr">
        <is>
          <t>D3. Dated rate data points: invoices, court filings, tenders, market commentary</t>
        </is>
      </c>
    </row>
    <row r="26">
      <c r="A26" s="52" t="inlineStr">
        <is>
          <t>Firm</t>
        </is>
      </c>
      <c r="B26" s="52" t="inlineStr">
        <is>
          <t>Rate date</t>
        </is>
      </c>
      <c r="C26" s="52" t="inlineStr">
        <is>
          <t>Level (as stated)</t>
        </is>
      </c>
      <c r="D26" s="52" t="inlineStr">
        <is>
          <t>Mapped level</t>
        </is>
      </c>
      <c r="E26" s="52" t="inlineStr">
        <is>
          <t>Rate low</t>
        </is>
      </c>
      <c r="F26" s="52" t="inlineStr">
        <is>
          <t>Rate high</t>
        </is>
      </c>
      <c r="G26" s="52" t="inlineStr">
        <is>
          <t>Context / client</t>
        </is>
      </c>
      <c r="H26" s="52" t="inlineStr">
        <is>
          <t>Source type</t>
        </is>
      </c>
      <c r="I26" s="52" t="inlineStr">
        <is>
          <t>Discounted / public?</t>
        </is>
      </c>
      <c r="J26" s="52" t="inlineStr">
        <is>
          <t>Source</t>
        </is>
      </c>
    </row>
    <row r="27">
      <c r="A27" s="49" t="inlineStr">
        <is>
          <t>Mannheimer Swartling</t>
        </is>
      </c>
      <c r="B27" s="49" t="inlineStr">
        <is>
          <t>Nov-2010</t>
        </is>
      </c>
      <c r="C27" s="49" t="inlineStr">
        <is>
          <t>Delägare</t>
        </is>
      </c>
      <c r="D27" s="49" t="inlineStr">
        <is>
          <t>Partner</t>
        </is>
      </c>
      <c r="E27" s="87" t="n">
        <v>3150</v>
      </c>
      <c r="F27" s="87" t="n">
        <v>3150</v>
      </c>
      <c r="G27" s="49" t="inlineStr">
        <is>
          <t>SL (Stockholm public transport), C30 metro procurement</t>
        </is>
      </c>
      <c r="H27" s="49" t="inlineStr">
        <is>
          <t>Invoice (press)</t>
        </is>
      </c>
      <c r="I27" s="49" t="inlineStr">
        <is>
          <t>Yes: SL framework + 10% invoice discount</t>
        </is>
      </c>
      <c r="J27" s="49" t="inlineStr">
        <is>
          <t>https://www.realtid.se/bors-finans/mannheimers-taxa-till-sl-1906-krh/</t>
        </is>
      </c>
    </row>
    <row r="28">
      <c r="A28" s="49" t="inlineStr">
        <is>
          <t>Mannheimer Swartling</t>
        </is>
      </c>
      <c r="B28" s="49" t="inlineStr">
        <is>
          <t>Nov-2010</t>
        </is>
      </c>
      <c r="C28" s="49" t="inlineStr">
        <is>
          <t>Biträdande jurist (advokat)</t>
        </is>
      </c>
      <c r="D28" s="49" t="inlineStr">
        <is>
          <t>Associate / Senior associate</t>
        </is>
      </c>
      <c r="E28" s="87" t="n">
        <v>2150</v>
      </c>
      <c r="F28" s="87" t="n">
        <v>2150</v>
      </c>
      <c r="G28" s="49" t="inlineStr">
        <is>
          <t>SL</t>
        </is>
      </c>
      <c r="H28" s="49" t="inlineStr">
        <is>
          <t>Invoice (press)</t>
        </is>
      </c>
      <c r="I28" s="49" t="inlineStr">
        <is>
          <t>Yes</t>
        </is>
      </c>
      <c r="J28" s="49" t="inlineStr">
        <is>
          <t>https://www.realtid.se/bors-finans/mannheimers-taxa-till-sl-1906-krh/</t>
        </is>
      </c>
    </row>
    <row r="29">
      <c r="A29" s="49" t="inlineStr">
        <is>
          <t>Mannheimer Swartling</t>
        </is>
      </c>
      <c r="B29" s="49" t="inlineStr">
        <is>
          <t>Nov-2010</t>
        </is>
      </c>
      <c r="C29" s="49" t="inlineStr">
        <is>
          <t>Junior biträdande jurist</t>
        </is>
      </c>
      <c r="D29" s="49" t="inlineStr">
        <is>
          <t>Junior associate</t>
        </is>
      </c>
      <c r="E29" s="87" t="n">
        <v>1550</v>
      </c>
      <c r="F29" s="87" t="n">
        <v>1550</v>
      </c>
      <c r="G29" s="49" t="inlineStr">
        <is>
          <t>SL; blended 2,118 (1,906 after discount)</t>
        </is>
      </c>
      <c r="H29" s="49" t="inlineStr">
        <is>
          <t>Invoice (press)</t>
        </is>
      </c>
      <c r="I29" s="49" t="inlineStr">
        <is>
          <t>Yes</t>
        </is>
      </c>
      <c r="J29" s="49" t="inlineStr">
        <is>
          <t>https://www.realtid.se/bors-finans/mannheimers-taxa-till-sl-1906-krh/</t>
        </is>
      </c>
    </row>
    <row r="30">
      <c r="A30" s="49" t="inlineStr">
        <is>
          <t>Mannheimer Swartling</t>
        </is>
      </c>
      <c r="B30" s="49" t="inlineStr">
        <is>
          <t>Oct-2009</t>
        </is>
      </c>
      <c r="C30" s="49" t="inlineStr">
        <is>
          <t>Partner (chairman)</t>
        </is>
      </c>
      <c r="D30" s="49" t="inlineStr">
        <is>
          <t>Partner</t>
        </is>
      </c>
      <c r="E30" s="87" t="n">
        <v>3200</v>
      </c>
      <c r="F30" s="87" t="n">
        <v>3200</v>
      </c>
      <c r="G30" s="49" t="inlineStr">
        <is>
          <t>Försvarsmakten, Projekt PRIO</t>
        </is>
      </c>
      <c r="H30" s="49" t="inlineStr">
        <is>
          <t>Invoice (press)</t>
        </is>
      </c>
      <c r="I30" s="49" t="inlineStr">
        <is>
          <t>Public client; discount unknown</t>
        </is>
      </c>
      <c r="J30" s="49" t="inlineStr">
        <is>
          <t>https://www.realtid.se/sa-hog-ar-mannheimers-timtaxa-mot-forsvarsmakten/</t>
        </is>
      </c>
    </row>
    <row r="31">
      <c r="A31" s="49" t="inlineStr">
        <is>
          <t>Mannheimer Swartling</t>
        </is>
      </c>
      <c r="B31" s="49" t="inlineStr">
        <is>
          <t>Jan-2010</t>
        </is>
      </c>
      <c r="C31" s="49" t="inlineStr">
        <is>
          <t>Not stated (partner-led team)</t>
        </is>
      </c>
      <c r="D31" s="49" t="inlineStr">
        <is>
          <t>Partner / blended</t>
        </is>
      </c>
      <c r="E31" s="87" t="n">
        <v>3800</v>
      </c>
      <c r="F31" s="87" t="n">
        <v>3800</v>
      </c>
      <c r="G31" s="49" t="inlineStr">
        <is>
          <t>Riksgälden, Carnegie valuation dispute</t>
        </is>
      </c>
      <c r="H31" s="49" t="inlineStr">
        <is>
          <t>Invoice (press)</t>
        </is>
      </c>
      <c r="I31" s="49" t="inlineStr">
        <is>
          <t>Public client; direct award</t>
        </is>
      </c>
      <c r="J31" s="49" t="inlineStr">
        <is>
          <t>https://www.realtid.se/bors-finans/bo-lundgrens-advokatnota-21-mkr/</t>
        </is>
      </c>
    </row>
    <row r="32">
      <c r="A32" s="49" t="inlineStr">
        <is>
          <t>DLA Piper Sweden</t>
        </is>
      </c>
      <c r="B32" s="49" t="inlineStr">
        <is>
          <t>2012-2017 (claimed Jun-2017)</t>
        </is>
      </c>
      <c r="C32" s="49" t="inlineStr">
        <is>
          <t>Ombud (counsel team)</t>
        </is>
      </c>
      <c r="D32" s="49" t="inlineStr">
        <is>
          <t>Partner / senior</t>
        </is>
      </c>
      <c r="E32" s="87" t="n">
        <v>3400</v>
      </c>
      <c r="F32" s="87" t="n">
        <v>3900</v>
      </c>
      <c r="G32" s="49" t="inlineStr">
        <is>
          <t>HQ AB v. former directors, Stockholm District Court</t>
        </is>
      </c>
      <c r="H32" s="49" t="inlineStr">
        <is>
          <t>Court cost claim</t>
        </is>
      </c>
      <c r="I32" s="49" t="inlineStr">
        <is>
          <t>No</t>
        </is>
      </c>
      <c r="J32" s="49" t="inlineStr">
        <is>
          <t>https://www.realtid.se/bors-finans/hq-processens-prislapp-441-miljoner-kronor/</t>
        </is>
      </c>
    </row>
    <row r="33">
      <c r="A33" s="49" t="inlineStr">
        <is>
          <t>Roschier</t>
        </is>
      </c>
      <c r="B33" s="49" t="inlineStr">
        <is>
          <t>2012-2017 (claimed 2017)</t>
        </is>
      </c>
      <c r="C33" s="49" t="inlineStr">
        <is>
          <t>Implied blended (SEK 17.5m / 5,207 h)</t>
        </is>
      </c>
      <c r="D33" s="49" t="inlineStr">
        <is>
          <t>Blended</t>
        </is>
      </c>
      <c r="E33" s="87" t="n">
        <v>3360</v>
      </c>
      <c r="F33" s="87" t="n">
        <v>3360</v>
      </c>
      <c r="G33" s="49" t="inlineStr">
        <is>
          <t>HQ AB (claimant)</t>
        </is>
      </c>
      <c r="H33" s="49" t="inlineStr">
        <is>
          <t>Court cost claim (calc.)</t>
        </is>
      </c>
      <c r="I33" s="49" t="inlineStr">
        <is>
          <t>No</t>
        </is>
      </c>
      <c r="J33" s="49" t="inlineStr">
        <is>
          <t>https://www.realtid.se/bors-finans/hq-processens-prislapp-441-miljoner-kronor/</t>
        </is>
      </c>
    </row>
    <row r="34">
      <c r="A34" s="49" t="inlineStr">
        <is>
          <t>Mannheimer Swartling</t>
        </is>
      </c>
      <c r="B34" s="49" t="inlineStr">
        <is>
          <t>Nov-2024 to Mar-2025</t>
        </is>
      </c>
      <c r="C34" s="49" t="inlineStr">
        <is>
          <t>Average across team (~6,000 h, SEK 32m)</t>
        </is>
      </c>
      <c r="D34" s="49" t="inlineStr">
        <is>
          <t>Blended</t>
        </is>
      </c>
      <c r="E34" s="87" t="n">
        <v>4000</v>
      </c>
      <c r="F34" s="87" t="n">
        <v>4000</v>
      </c>
      <c r="G34" s="49" t="inlineStr">
        <is>
          <t>Northvolt US Chapter 11 (Swedish counsel); lowest average of advisers</t>
        </is>
      </c>
      <c r="H34" s="49" t="inlineStr">
        <is>
          <t>Chapter 11 filing (press)</t>
        </is>
      </c>
      <c r="I34" s="49" t="inlineStr">
        <is>
          <t>No</t>
        </is>
      </c>
      <c r="J34" s="49" t="inlineStr">
        <is>
          <t>https://www.affarsvarlden.se/artikel/sa-dyrt-blev-northvolts-raddningsforsok-i-usa-debiteras-47-000-timmar</t>
        </is>
      </c>
    </row>
    <row r="35">
      <c r="A35" s="49" t="inlineStr">
        <is>
          <t>Kirkland &amp; Ellis (comparison)</t>
        </is>
      </c>
      <c r="B35" s="49" t="inlineStr">
        <is>
          <t>Nov-Dec-2024</t>
        </is>
      </c>
      <c r="C35" s="49" t="inlineStr">
        <is>
          <t>Average / top rate</t>
        </is>
      </c>
      <c r="D35" s="49" t="inlineStr">
        <is>
          <t>Blended / top partner</t>
        </is>
      </c>
      <c r="E35" s="87" t="n">
        <v>14300</v>
      </c>
      <c r="F35" s="87" t="n">
        <v>25500</v>
      </c>
      <c r="G35" s="49" t="inlineStr">
        <is>
          <t>Northvolt Chapter 11 (US lead counsel)</t>
        </is>
      </c>
      <c r="H35" s="49" t="inlineStr">
        <is>
          <t>Chapter 11 filing (press)</t>
        </is>
      </c>
      <c r="I35" s="49" t="inlineStr">
        <is>
          <t>No</t>
        </is>
      </c>
      <c r="J35" s="49" t="inlineStr">
        <is>
          <t>https://www.affarsvarlden.se/artikel/northvolts-nota-over-100-miljoner-i-manaden-pa-advokater-och-radgivare</t>
        </is>
      </c>
    </row>
    <row r="36">
      <c r="A36" s="49" t="inlineStr">
        <is>
          <t>Front Advokater</t>
        </is>
      </c>
      <c r="B36" s="49" t="inlineStr">
        <is>
          <t>2016-2020</t>
        </is>
      </c>
      <c r="C36" s="49" t="inlineStr">
        <is>
          <t>Junior / Jurist / Senior (&gt;=2/5/10 yrs)</t>
        </is>
      </c>
      <c r="D36" s="49" t="inlineStr">
        <is>
          <t>Junior / Associate / Senior</t>
        </is>
      </c>
      <c r="E36" s="87" t="n">
        <v>953</v>
      </c>
      <c r="F36" s="87" t="n">
        <v>1588</v>
      </c>
      <c r="G36" s="49" t="inlineStr">
        <is>
          <t>City of Gothenburg legal services framework (area A: 953/1,270/1,588; area B: 833/1,110/1,388)</t>
        </is>
      </c>
      <c r="H36" s="49" t="inlineStr">
        <is>
          <t>Public tender (court judgment)</t>
        </is>
      </c>
      <c r="I36" s="49" t="inlineStr">
        <is>
          <t>Yes: aggressive tender pricing</t>
        </is>
      </c>
      <c r="J36" s="49" t="inlineStr">
        <is>
          <t>https://upphandling24.se/wp-content/uploads/2024/03/goteborgs-tr-t-20148-21-dom-2024-02-21.pdf</t>
        </is>
      </c>
    </row>
    <row r="37">
      <c r="A37" s="49" t="inlineStr">
        <is>
          <t>7 unnamed firms</t>
        </is>
      </c>
      <c r="B37" s="49" t="inlineStr">
        <is>
          <t>2007</t>
        </is>
      </c>
      <c r="C37" s="49" t="inlineStr">
        <is>
          <t>Tender price</t>
        </is>
      </c>
      <c r="D37" s="49" t="inlineStr">
        <is>
          <t>Blended</t>
        </is>
      </c>
      <c r="E37" s="87" t="n">
        <v>1800</v>
      </c>
      <c r="F37" s="87" t="n">
        <v>2800</v>
      </c>
      <c r="G37" s="49" t="inlineStr">
        <is>
          <t>State tender: advisers for divesting state-owned companies</t>
        </is>
      </c>
      <c r="H37" s="49" t="inlineStr">
        <is>
          <t>Public tender (press)</t>
        </is>
      </c>
      <c r="I37" s="49" t="inlineStr">
        <is>
          <t>Yes</t>
        </is>
      </c>
      <c r="J37" s="49" t="inlineStr">
        <is>
          <t>https://www.realtid.se/bors-finans/det-blir-13000-kronor-tack-per-timme/</t>
        </is>
      </c>
    </row>
    <row r="38">
      <c r="A38" s="49" t="inlineStr">
        <is>
          <t>Unnamed external advokat</t>
        </is>
      </c>
      <c r="B38" s="49" t="inlineStr">
        <is>
          <t>Dec-2024</t>
        </is>
      </c>
      <c r="C38" s="49" t="inlineStr">
        <is>
          <t>Advokat</t>
        </is>
      </c>
      <c r="D38" s="49" t="inlineStr">
        <is>
          <t>Partner</t>
        </is>
      </c>
      <c r="E38" s="87" t="n">
        <v>4500</v>
      </c>
      <c r="F38" s="87" t="n">
        <v>4500</v>
      </c>
      <c r="G38" s="49" t="inlineStr">
        <is>
          <t>Botkyrka municipality</t>
        </is>
      </c>
      <c r="H38" s="49" t="inlineStr">
        <is>
          <t>Press</t>
        </is>
      </c>
      <c r="I38" s="49" t="inlineStr">
        <is>
          <t>Public client</t>
        </is>
      </c>
      <c r="J38" s="49" t="inlineStr">
        <is>
          <t>https://www.svt.se/nyheter/lokalt/stockholm/botkyrka-tar-in-extern-advokat-for-4-500-kronor-i-timmen</t>
        </is>
      </c>
    </row>
    <row r="39">
      <c r="A39" s="49" t="inlineStr">
        <is>
          <t>Law firm (unnamed)</t>
        </is>
      </c>
      <c r="B39" s="49" t="inlineStr">
        <is>
          <t>Apr-2026</t>
        </is>
      </c>
      <c r="C39" s="49" t="inlineStr">
        <is>
          <t>Hourly rate held reasonable</t>
        </is>
      </c>
      <c r="D39" s="49" t="inlineStr">
        <is>
          <t>n/a</t>
        </is>
      </c>
      <c r="E39" s="87" t="n">
        <v>4000</v>
      </c>
      <c r="F39" s="87" t="n">
        <v>4000</v>
      </c>
      <c r="G39" s="49" t="inlineStr">
        <is>
          <t>Luleå tingsrätt cost ruling</t>
        </is>
      </c>
      <c r="H39" s="49" t="inlineStr">
        <is>
          <t>Court ruling (press)</t>
        </is>
      </c>
      <c r="I39" s="49" t="inlineStr">
        <is>
          <t>n/a</t>
        </is>
      </c>
      <c r="J39" s="49" t="inlineStr">
        <is>
          <t>https://www.realtid.se/juridik/ratten-om-timarvoden-4-000-kronor-i-timmen-ar-ok/</t>
        </is>
      </c>
    </row>
    <row r="40">
      <c r="A40" s="49" t="inlineStr">
        <is>
          <t>Top-tier firms (market)</t>
        </is>
      </c>
      <c r="B40" s="49" t="inlineStr">
        <is>
          <t>2026</t>
        </is>
      </c>
      <c r="C40" s="49" t="inlineStr">
        <is>
          <t>Partner</t>
        </is>
      </c>
      <c r="D40" s="49" t="inlineStr">
        <is>
          <t>Partner</t>
        </is>
      </c>
      <c r="E40" s="87" t="n">
        <v>7000</v>
      </c>
      <c r="F40" s="87" t="n">
        <v>9000</v>
      </c>
      <c r="G40" s="49" t="inlineStr">
        <is>
          <t>Olle Flygt (ex-Vinge/MSA partner): partners bill 7,000-9,000; associates ~3,000</t>
        </is>
      </c>
      <c r="H40" s="49" t="inlineStr">
        <is>
          <t>Market commentary</t>
        </is>
      </c>
      <c r="I40" s="49" t="inlineStr">
        <is>
          <t>No</t>
        </is>
      </c>
      <c r="J40" s="49" t="inlineStr">
        <is>
          <t>https://www.realtid.se/perfectweekend/affarsjuridikens-karna-det-har-blivit-for-mycket-fokus-pa-pengar/</t>
        </is>
      </c>
    </row>
    <row r="41">
      <c r="A41" s="49" t="inlineStr">
        <is>
          <t>Top-tier firms (market)</t>
        </is>
      </c>
      <c r="B41" s="49" t="inlineStr">
        <is>
          <t>2026</t>
        </is>
      </c>
      <c r="C41" s="49" t="inlineStr">
        <is>
          <t>Associate</t>
        </is>
      </c>
      <c r="D41" s="49" t="inlineStr">
        <is>
          <t>Associate</t>
        </is>
      </c>
      <c r="E41" s="87" t="n">
        <v>3000</v>
      </c>
      <c r="F41" s="87" t="n">
        <v>3000</v>
      </c>
      <c r="G41" s="49" t="inlineStr">
        <is>
          <t>As above</t>
        </is>
      </c>
      <c r="H41" s="49" t="inlineStr">
        <is>
          <t>Market commentary</t>
        </is>
      </c>
      <c r="I41" s="49" t="inlineStr">
        <is>
          <t>No</t>
        </is>
      </c>
      <c r="J41" s="49" t="inlineStr">
        <is>
          <t>https://www.realtid.se/perfectweekend/affarsjuridikens-karna-det-har-blivit-for-mycket-fokus-pa-pengar/</t>
        </is>
      </c>
    </row>
    <row r="42">
      <c r="A42" s="49" t="inlineStr">
        <is>
          <t>Mannheimer Swartling</t>
        </is>
      </c>
      <c r="B42" s="49" t="inlineStr">
        <is>
          <t>Final years before 2025 (not specified)</t>
        </is>
      </c>
      <c r="C42" s="49" t="inlineStr">
        <is>
          <t>Partner (Olle Flygt)</t>
        </is>
      </c>
      <c r="D42" s="49" t="inlineStr">
        <is>
          <t>Partner</t>
        </is>
      </c>
      <c r="E42" s="87" t="n">
        <v>7000</v>
      </c>
      <c r="F42" s="87" t="n">
        <v>8000</v>
      </c>
      <c r="G42" s="49" t="inlineStr">
        <is>
          <t>Own billing rate</t>
        </is>
      </c>
      <c r="H42" s="49" t="inlineStr">
        <is>
          <t>Market commentary</t>
        </is>
      </c>
      <c r="I42" s="49" t="inlineStr">
        <is>
          <t>No</t>
        </is>
      </c>
      <c r="J42" s="49" t="inlineStr">
        <is>
          <t>https://www.realtid.se/juridik/affarsjuridiken-vaxer-men-sprickorna-syns/</t>
        </is>
      </c>
    </row>
    <row r="44">
      <c r="A44" s="47" t="inlineStr">
        <is>
          <t>D4. Benchmarks</t>
        </is>
      </c>
    </row>
    <row r="45">
      <c r="A45" s="52" t="inlineStr">
        <is>
          <t>Benchmark</t>
        </is>
      </c>
      <c r="B45" s="52" t="inlineStr">
        <is>
          <t>Period</t>
        </is>
      </c>
      <c r="C45" s="52" t="inlineStr">
        <is>
          <t>Rate</t>
        </is>
      </c>
      <c r="D45" s="52" t="inlineStr">
        <is>
          <t>Currency</t>
        </is>
      </c>
      <c r="E45" s="52" t="inlineStr">
        <is>
          <t>Notes</t>
        </is>
      </c>
      <c r="F45" s="52" t="inlineStr">
        <is>
          <t>Source</t>
        </is>
      </c>
    </row>
    <row r="46">
      <c r="A46" s="49" t="inlineStr">
        <is>
          <t>Legal-aid hourly norm (timkostnadsnorm), F-skatt</t>
        </is>
      </c>
      <c r="B46" s="49" t="inlineStr">
        <is>
          <t>2025</t>
        </is>
      </c>
      <c r="C46" s="87" t="n">
        <v>1586</v>
      </c>
      <c r="D46" s="49" t="inlineStr">
        <is>
          <t>SEK</t>
        </is>
      </c>
      <c r="E46" s="49" t="inlineStr">
        <is>
          <t>SFS 2024:913</t>
        </is>
      </c>
      <c r="F46" s="49" t="inlineStr">
        <is>
          <t>https://www.svenskforfattningssamling.se/sites/default/files/sfs/2024-10/SFS2024-913.pdf</t>
        </is>
      </c>
    </row>
    <row r="47">
      <c r="A47" s="49" t="inlineStr">
        <is>
          <t>Legal-aid hourly norm (timkostnadsnorm), F-skatt</t>
        </is>
      </c>
      <c r="B47" s="49" t="inlineStr">
        <is>
          <t>2026</t>
        </is>
      </c>
      <c r="C47" s="87" t="n">
        <v>1626</v>
      </c>
      <c r="D47" s="49" t="inlineStr">
        <is>
          <t>SEK</t>
        </is>
      </c>
      <c r="E47" s="49" t="inlineStr">
        <is>
          <t>SFS 2025:919 (+2.5%). Bar Association: business lawyers bill "at least three times" this</t>
        </is>
      </c>
      <c r="F47" s="49" t="inlineStr">
        <is>
          <t>https://xn--svenskfrfattningssamling-roc.se/sites/default/files/sfs/2025-10/SFS2025-919.pdf</t>
        </is>
      </c>
    </row>
    <row r="48">
      <c r="A48" s="49" t="inlineStr">
        <is>
          <t>Affärsvärlden fee income per lawyer (56-63 firms)</t>
        </is>
      </c>
      <c r="B48" s="49" t="inlineStr">
        <is>
          <t>2024</t>
        </is>
      </c>
      <c r="C48" s="87" t="n">
        <v>4130000</v>
      </c>
      <c r="D48" s="49" t="inlineStr">
        <is>
          <t>SEK p.a.</t>
        </is>
      </c>
      <c r="E48" s="49" t="inlineStr">
        <is>
          <t>~SEK 2,580/h at 1,600 billable hours (illustrative)</t>
        </is>
      </c>
      <c r="F48" s="49" t="inlineStr">
        <is>
          <t>https://www.realtid.se/affarer/154-miljarder-sa-klarade-affarsjuristerna-tullchocken/</t>
        </is>
      </c>
    </row>
    <row r="49">
      <c r="A49" s="49" t="inlineStr">
        <is>
          <t>Affärsvärlden fee income per lawyer</t>
        </is>
      </c>
      <c r="B49" s="49" t="inlineStr">
        <is>
          <t>2023</t>
        </is>
      </c>
      <c r="C49" s="87" t="n">
        <v>4220000</v>
      </c>
      <c r="D49" s="49" t="inlineStr">
        <is>
          <t>SEK p.a.</t>
        </is>
      </c>
      <c r="E49" s="49" t="inlineStr"/>
      <c r="F49" s="49" t="inlineStr">
        <is>
          <t>https://www.affarsvarlden.se/artikel/affarsjuristerna-om-trenden-pe-bolagen-kommer-vara-motorn</t>
        </is>
      </c>
    </row>
    <row r="50">
      <c r="A50" s="49" t="inlineStr">
        <is>
          <t>Denmark: Kammeradvokaten state agreement, partner</t>
        </is>
      </c>
      <c r="B50" s="49" t="inlineStr">
        <is>
          <t>From Jan-2024</t>
        </is>
      </c>
      <c r="C50" s="87" t="n">
        <v>2790</v>
      </c>
      <c r="D50" s="49" t="inlineStr">
        <is>
          <t>DKK</t>
        </is>
      </c>
      <c r="E50" s="49" t="inlineStr">
        <is>
          <t>Advokat &gt;3 yrs 2,263; &lt;3 yrs 1,891; fuldmægtig 1,395 (snippet only)</t>
        </is>
      </c>
      <c r="F50" s="49" t="inlineStr">
        <is>
          <t>https://ft.dk/samling/20241/almdel/reu/bilag/88/2953293.pdf</t>
        </is>
      </c>
    </row>
    <row r="51">
      <c r="A51" s="49" t="inlineStr">
        <is>
          <t>Norway: public legal-aid rate (salærsats)</t>
        </is>
      </c>
      <c r="B51" s="49" t="inlineStr">
        <is>
          <t>2026</t>
        </is>
      </c>
      <c r="C51" s="87" t="n">
        <v>1375</v>
      </c>
      <c r="D51" s="49" t="inlineStr">
        <is>
          <t>NOK</t>
        </is>
      </c>
      <c r="E51" s="49" t="inlineStr">
        <is>
          <t>2025: NOK 1,315</t>
        </is>
      </c>
      <c r="F51" s="49" t="inlineStr">
        <is>
          <t>https://www.advokatforeningen.no/contentassets/770460b5483c4bd0acb76ff98d2ad3fa/vedlegg-1--salarradets-anbefaling-for-2026.pdf</t>
        </is>
      </c>
    </row>
    <row r="52">
      <c r="A52" s="49" t="inlineStr">
        <is>
          <t>UK top-10 firms average hourly rate</t>
        </is>
      </c>
      <c r="B52" s="49" t="inlineStr">
        <is>
          <t>2024</t>
        </is>
      </c>
      <c r="C52" s="87" t="n">
        <v>449</v>
      </c>
      <c r="D52" s="49" t="inlineStr">
        <is>
          <t>GBP</t>
        </is>
      </c>
      <c r="E52" s="49" t="inlineStr">
        <is>
          <t>2019: GBP 321; firms 11-25: GBP 325 (PwC, snippet only)</t>
        </is>
      </c>
      <c r="F52" s="49" t="inlineStr">
        <is>
          <t>https://www.legalcheek.com/2025/04/the-2000-per-hour-solicitor</t>
        </is>
      </c>
    </row>
    <row r="54">
      <c r="A54" s="45" t="inlineStr">
        <is>
          <t>Gaps: no published rate cards found for Vinge, White &amp; Case, Setterwalls, Lindahl, Gernandt &amp; Danielsson, CMS Wistrand, Cirio, MAQS, Baker McKenzie, Snellman, Foyen, Glimstedt, Eversheds, Fylgia, Hammarskiöld, Magnusson, Kahn Pedersen, Wigge, Kastell, Westerberg or TM &amp; Partners.</t>
        </is>
      </c>
    </row>
    <row r="55">
      <c r="A55" s="45" t="inlineStr">
        <is>
          <t>Routes to fill: (1) US Chapter 11 fee statements (PACER) for SAS (S.D.N.Y. 22-10925) and Northvolt (S.D. Tex. 24-90577) list per-timekeeper rates for Mannheimer Swartling 2022-25; (2) FOI requests to public buyers (price annexes often withheld); (3) client invoices (e.g. Axo, requested).</t>
        </is>
      </c>
    </row>
  </sheetData>
  <mergeCells count="15">
    <mergeCell ref="A5:A6"/>
    <mergeCell ref="O5:O6"/>
    <mergeCell ref="N5:N6"/>
    <mergeCell ref="P5:P6"/>
    <mergeCell ref="Q5:Q6"/>
    <mergeCell ref="R5:R6"/>
    <mergeCell ref="J5:K5"/>
    <mergeCell ref="A2:R2"/>
    <mergeCell ref="L5:L6"/>
    <mergeCell ref="F5:G5"/>
    <mergeCell ref="D5:E5"/>
    <mergeCell ref="H5:I5"/>
    <mergeCell ref="M5:M6"/>
    <mergeCell ref="B5:B6"/>
    <mergeCell ref="C5:C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2" customWidth="1" min="2" max="2"/>
    <col width="12" customWidth="1" min="3" max="3"/>
    <col width="10" customWidth="1" min="4" max="4"/>
    <col width="11" customWidth="1" min="5" max="5"/>
    <col width="11" customWidth="1" min="6" max="6"/>
    <col width="11" customWidth="1" min="7" max="7"/>
    <col width="9" customWidth="1" min="8" max="8"/>
    <col width="22" customWidth="1" min="9" max="9"/>
    <col width="11" customWidth="1" min="10" max="10"/>
    <col width="11" customWidth="1" min="11" max="11"/>
    <col width="13" customWidth="1" min="12" max="12"/>
    <col width="10" customWidth="1" min="13" max="13"/>
    <col width="11" customWidth="1" min="14" max="14"/>
    <col width="10" customWidth="1" min="15" max="15"/>
    <col width="50" customWidth="1" min="16" max="16"/>
  </cols>
  <sheetData>
    <row r="1">
      <c r="A1" s="1" t="inlineStr">
        <is>
          <t>Section E. Partner compensation: profit pool per partner from filed annual reports</t>
        </is>
      </c>
    </row>
    <row r="2" ht="75" customHeight="1">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sheetData>
  <mergeCells count="1">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2026-10-12T10:01:53Z</dcterms:modified>
</cp:coreProperties>
</file>