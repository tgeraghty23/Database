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Market size" sheetId="1" state="visible" r:id="rId1"/>
    <sheet xmlns:r="http://schemas.openxmlformats.org/officeDocument/2006/relationships" name="A. Nordic market" sheetId="2" state="visible" r:id="rId2"/>
    <sheet xmlns:r="http://schemas.openxmlformats.org/officeDocument/2006/relationships" name="A. Growth drivers" sheetId="3" state="visible" r:id="rId3"/>
    <sheet xmlns:r="http://schemas.openxmlformats.org/officeDocument/2006/relationships" name="A. Niche firms" sheetId="4" state="visible" r:id="rId4"/>
    <sheet xmlns:r="http://schemas.openxmlformats.org/officeDocument/2006/relationships" name="B. Practice rankings" sheetId="5" state="visible" r:id="rId5"/>
    <sheet xmlns:r="http://schemas.openxmlformats.org/officeDocument/2006/relationships" name="B. Rankings raw" sheetId="6" state="visible" r:id="rId6"/>
    <sheet xmlns:r="http://schemas.openxmlformats.org/officeDocument/2006/relationships" name="B. Top lawyers" sheetId="7" state="visible" r:id="rId7"/>
    <sheet xmlns:r="http://schemas.openxmlformats.org/officeDocument/2006/relationships" name="B. Partner pipeline" sheetId="8" state="visible" r:id="rId8"/>
    <sheet xmlns:r="http://schemas.openxmlformats.org/officeDocument/2006/relationships" name="C. Benchmarking" sheetId="9" state="visible" r:id="rId9"/>
    <sheet xmlns:r="http://schemas.openxmlformats.org/officeDocument/2006/relationships" name="D. Rate cards" sheetId="10" state="visible" r:id="rId10"/>
    <sheet xmlns:r="http://schemas.openxmlformats.org/officeDocument/2006/relationships" name="E. Partner compensation" sheetId="11" state="visible" r:id="rId11"/>
    <sheet xmlns:r="http://schemas.openxmlformats.org/officeDocument/2006/relationships" name="F. M&amp;A &amp; team lifts" sheetId="12" state="visible" r:id="rId12"/>
  </sheets>
  <definedNames>
    <definedName name="_xlnm._FilterDatabase" localSheetId="5" hidden="1">'B. Rankings raw'!$A$1:$E$661</definedName>
    <definedName name="_xlnm._FilterDatabase" localSheetId="7" hidden="1">'B. Partner pipeline'!$A$4:$K$176</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0"/>
  </numFmts>
  <fonts count="11">
    <font>
      <name val="Calibri"/>
      <family val="2"/>
      <color theme="1"/>
      <sz val="11"/>
      <scheme val="minor"/>
    </font>
    <font>
      <b val="1"/>
      <sz val="14"/>
    </font>
    <font>
      <b val="1"/>
      <color rgb="00FFFFFF"/>
    </font>
    <font>
      <b val="1"/>
      <sz val="8"/>
    </font>
    <font/>
    <font>
      <b val="1"/>
    </font>
    <font>
      <i val="1"/>
      <sz val="9"/>
    </font>
    <font>
      <b val="1"/>
      <sz val="11"/>
    </font>
    <font>
      <b val="1"/>
      <sz val="9"/>
    </font>
    <font>
      <b val="1"/>
      <color rgb="001F3864"/>
      <sz val="12"/>
    </font>
    <font>
      <b val="1"/>
      <color rgb="001F3864"/>
      <sz val="11"/>
    </font>
  </fonts>
  <fills count="12">
    <fill>
      <patternFill/>
    </fill>
    <fill>
      <patternFill patternType="gray125"/>
    </fill>
    <fill>
      <patternFill patternType="solid">
        <fgColor rgb="001F3864"/>
      </patternFill>
    </fill>
    <fill>
      <patternFill patternType="solid">
        <fgColor rgb="00D9E1F2"/>
      </patternFill>
    </fill>
    <fill>
      <patternFill patternType="solid">
        <fgColor rgb="00C6E0B4"/>
      </patternFill>
    </fill>
    <fill>
      <patternFill patternType="solid">
        <fgColor rgb="00EDEDED"/>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DDEBF7"/>
      </patternFill>
    </fill>
    <fill>
      <patternFill patternType="solid">
        <fgColor rgb="00F8CBAD"/>
      </patternFill>
    </fill>
  </fills>
  <borders count="19">
    <border>
      <left/>
      <right/>
      <top/>
      <bottom/>
      <diagonal/>
    </border>
    <border>
      <left style="thin">
        <color rgb="00BFBFBF"/>
      </left>
      <right style="thin">
        <color rgb="00BFBFBF"/>
      </right>
      <top style="thin">
        <color rgb="00BFBFBF"/>
      </top>
      <bottom style="thin">
        <color rgb="00BFBFBF"/>
      </bottom>
    </border>
    <border>
      <left style="thick">
        <color rgb="00C00000"/>
      </left>
      <right style="thin">
        <color rgb="00BFBFBF"/>
      </right>
      <top style="thick">
        <color rgb="00C00000"/>
      </top>
      <bottom style="thick">
        <color rgb="00C00000"/>
      </bottom>
    </border>
    <border>
      <left style="thin">
        <color rgb="00BFBFBF"/>
      </left>
      <right style="thin">
        <color rgb="00BFBFBF"/>
      </right>
      <top style="thick">
        <color rgb="00C00000"/>
      </top>
      <bottom style="thick">
        <color rgb="00C00000"/>
      </bottom>
    </border>
    <border>
      <left style="thin">
        <color rgb="00BFBFBF"/>
      </left>
      <right style="thick">
        <color rgb="00C00000"/>
      </right>
      <top style="thick">
        <color rgb="00C00000"/>
      </top>
      <bottom style="thick">
        <color rgb="00C00000"/>
      </bottom>
    </border>
    <border>
      <left style="thick">
        <color rgb="00C00000"/>
      </left>
      <right style="thin">
        <color rgb="00BFBFBF"/>
      </right>
      <top style="thick">
        <color rgb="00C00000"/>
      </top>
      <bottom style="thin">
        <color rgb="00BFBFBF"/>
      </bottom>
    </border>
    <border>
      <left style="thin">
        <color rgb="00BFBFBF"/>
      </left>
      <right style="thin">
        <color rgb="00BFBFBF"/>
      </right>
      <top style="thick">
        <color rgb="00C00000"/>
      </top>
      <bottom style="thin">
        <color rgb="00BFBFBF"/>
      </bottom>
    </border>
    <border>
      <left style="thin">
        <color rgb="00BFBFBF"/>
      </left>
      <right style="thick">
        <color rgb="00C00000"/>
      </right>
      <top style="thick">
        <color rgb="00C00000"/>
      </top>
      <bottom style="thin">
        <color rgb="00BFBFBF"/>
      </bottom>
    </border>
    <border>
      <left style="thick">
        <color rgb="00C00000"/>
      </left>
      <right style="thin">
        <color rgb="00BFBFBF"/>
      </right>
      <top style="thin">
        <color rgb="00BFBFBF"/>
      </top>
      <bottom style="thin">
        <color rgb="00BFBFBF"/>
      </bottom>
    </border>
    <border>
      <left style="thin">
        <color rgb="00BFBFBF"/>
      </left>
      <right style="thick">
        <color rgb="00C00000"/>
      </right>
      <top style="thin">
        <color rgb="00BFBFBF"/>
      </top>
      <bottom style="thin">
        <color rgb="00BFBFBF"/>
      </bottom>
    </border>
    <border>
      <left style="thick">
        <color rgb="00C00000"/>
      </left>
      <right style="thin">
        <color rgb="00BFBFBF"/>
      </right>
      <top style="thin">
        <color rgb="00BFBFBF"/>
      </top>
      <bottom style="thick">
        <color rgb="00C00000"/>
      </bottom>
    </border>
    <border>
      <left style="thin">
        <color rgb="00BFBFBF"/>
      </left>
      <right style="thin">
        <color rgb="00BFBFBF"/>
      </right>
      <top style="thin">
        <color rgb="00BFBFBF"/>
      </top>
      <bottom style="thick">
        <color rgb="00C00000"/>
      </bottom>
    </border>
    <border>
      <left style="thin">
        <color rgb="00BFBFBF"/>
      </left>
      <right style="thick">
        <color rgb="00C00000"/>
      </right>
      <top style="thin">
        <color rgb="00BFBFBF"/>
      </top>
      <bottom style="thick">
        <color rgb="00C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2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1" pivotButton="0" quotePrefix="0" xfId="0"/>
    <xf numFmtId="0" fontId="0" fillId="0" borderId="1"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5" fillId="0" borderId="5" pivotButton="0" quotePrefix="0" xfId="0"/>
    <xf numFmtId="0" fontId="0" fillId="0" borderId="6" pivotButton="0" quotePrefix="0" xfId="0"/>
    <xf numFmtId="0" fontId="0" fillId="8" borderId="6" applyAlignment="1" pivotButton="0" quotePrefix="0" xfId="0">
      <alignment horizontal="center" vertical="center" wrapText="1"/>
    </xf>
    <xf numFmtId="0" fontId="0" fillId="7" borderId="6" applyAlignment="1" pivotButton="0" quotePrefix="0" xfId="0">
      <alignment horizontal="center" vertical="center" wrapText="1"/>
    </xf>
    <xf numFmtId="0" fontId="0" fillId="5"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9" borderId="6" applyAlignment="1" pivotButton="0" quotePrefix="0" xfId="0">
      <alignment horizontal="center" vertical="center" wrapText="1"/>
    </xf>
    <xf numFmtId="0" fontId="0" fillId="6" borderId="6"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7" applyAlignment="1" pivotButton="0" quotePrefix="0" xfId="0">
      <alignment horizontal="center" vertical="center" wrapText="1"/>
    </xf>
    <xf numFmtId="0" fontId="5" fillId="0" borderId="8" pivotButton="0" quotePrefix="0" xfId="0"/>
    <xf numFmtId="0" fontId="0" fillId="5" borderId="9" applyAlignment="1" pivotButton="0" quotePrefix="0" xfId="0">
      <alignment horizontal="center" vertical="center" wrapText="1"/>
    </xf>
    <xf numFmtId="0" fontId="5" fillId="0" borderId="10" pivotButton="0" quotePrefix="0" xfId="0"/>
    <xf numFmtId="0" fontId="0" fillId="0" borderId="11" pivotButton="0" quotePrefix="0" xfId="0"/>
    <xf numFmtId="0" fontId="0" fillId="0" borderId="11" applyAlignment="1" pivotButton="0" quotePrefix="0" xfId="0">
      <alignment horizontal="center" vertical="center" wrapText="1"/>
    </xf>
    <xf numFmtId="0" fontId="0" fillId="8" borderId="11" applyAlignment="1" pivotButton="0" quotePrefix="0" xfId="0">
      <alignment horizontal="center" vertical="center" wrapText="1"/>
    </xf>
    <xf numFmtId="0" fontId="0" fillId="5" borderId="11" applyAlignment="1" pivotButton="0" quotePrefix="0" xfId="0">
      <alignment horizontal="center" vertical="center" wrapText="1"/>
    </xf>
    <xf numFmtId="0" fontId="0" fillId="7" borderId="11" applyAlignment="1" pivotButton="0" quotePrefix="0" xfId="0">
      <alignment horizontal="center" vertical="center" wrapText="1"/>
    </xf>
    <xf numFmtId="0" fontId="0" fillId="9" borderId="11" applyAlignment="1" pivotButton="0" quotePrefix="0" xfId="0">
      <alignment horizontal="center" vertical="center" wrapText="1"/>
    </xf>
    <xf numFmtId="0" fontId="0" fillId="6" borderId="11" applyAlignment="1" pivotButton="0" quotePrefix="0" xfId="0">
      <alignment horizontal="center" vertical="center" wrapText="1"/>
    </xf>
    <xf numFmtId="0" fontId="0" fillId="4" borderId="11" applyAlignment="1" pivotButton="0" quotePrefix="0" xfId="0">
      <alignment horizontal="center" vertical="center" wrapText="1"/>
    </xf>
    <xf numFmtId="0" fontId="0" fillId="5" borderId="12" applyAlignment="1" pivotButton="0" quotePrefix="0" xfId="0">
      <alignment horizontal="center" vertical="center" wrapText="1"/>
    </xf>
    <xf numFmtId="0" fontId="5" fillId="0" borderId="2" pivotButton="0" quotePrefix="0" xfId="0"/>
    <xf numFmtId="0" fontId="0" fillId="0" borderId="3" pivotButton="0" quotePrefix="0" xfId="0"/>
    <xf numFmtId="0" fontId="0" fillId="0" borderId="3" applyAlignment="1" pivotButton="0" quotePrefix="0" xfId="0">
      <alignment horizontal="center" vertical="center" wrapText="1"/>
    </xf>
    <xf numFmtId="0" fontId="0" fillId="8" borderId="3" applyAlignment="1" pivotButton="0" quotePrefix="0" xfId="0">
      <alignment horizontal="center" vertical="center" wrapText="1"/>
    </xf>
    <xf numFmtId="0" fontId="0" fillId="5" borderId="3" applyAlignment="1" pivotButton="0" quotePrefix="0" xfId="0">
      <alignment horizontal="center" vertical="center" wrapText="1"/>
    </xf>
    <xf numFmtId="0" fontId="0" fillId="9" borderId="3" applyAlignment="1" pivotButton="0" quotePrefix="0" xfId="0">
      <alignment horizontal="center" vertical="center" wrapText="1"/>
    </xf>
    <xf numFmtId="0" fontId="0" fillId="7"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5" borderId="4" applyAlignment="1" pivotButton="0" quotePrefix="0" xfId="0">
      <alignment horizontal="center" vertical="center" wrapText="1"/>
    </xf>
    <xf numFmtId="0" fontId="6" fillId="0" borderId="0" pivotButton="0" quotePrefix="0" xfId="0"/>
    <xf numFmtId="0" fontId="5" fillId="0" borderId="0" pivotButton="0" quotePrefix="0" xfId="0"/>
    <xf numFmtId="0" fontId="7"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3" fontId="2" fillId="2" borderId="1" applyAlignment="1" pivotButton="0" quotePrefix="0" xfId="0">
      <alignment vertical="center" wrapText="1"/>
    </xf>
    <xf numFmtId="3" fontId="0" fillId="0" borderId="1"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164" fontId="0" fillId="0" borderId="1" pivotButton="0" quotePrefix="0" xfId="0"/>
    <xf numFmtId="0" fontId="0" fillId="5" borderId="1" pivotButton="0" quotePrefix="0" xfId="0"/>
    <xf numFmtId="3" fontId="0" fillId="0" borderId="0" pivotButton="0" quotePrefix="0" xfId="0"/>
    <xf numFmtId="9" fontId="0" fillId="0" borderId="0" pivotButton="0" quotePrefix="0" xfId="0"/>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9" fontId="0" fillId="0" borderId="1" pivotButton="0" quotePrefix="0" xfId="0"/>
    <xf numFmtId="0" fontId="0" fillId="0" borderId="1" applyAlignment="1" pivotButton="0" quotePrefix="0" xfId="0">
      <alignment vertical="top"/>
    </xf>
    <xf numFmtId="0" fontId="0" fillId="7" borderId="1" applyAlignment="1" pivotButton="0" quotePrefix="0" xfId="0">
      <alignment vertical="top"/>
    </xf>
    <xf numFmtId="0" fontId="0" fillId="7"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0" fontId="0" fillId="0" borderId="1" applyAlignment="1" pivotButton="0" quotePrefix="0" xfId="0">
      <alignment vertical="top"/>
    </xf>
    <xf numFmtId="0" fontId="0" fillId="7"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0" fontId="0" fillId="0" borderId="15" pivotButton="0" quotePrefix="0" xfId="0"/>
    <xf numFmtId="0" fontId="0" fillId="0" borderId="18" pivotButton="0" quotePrefix="0" xfId="0"/>
    <xf numFmtId="0" fontId="8" fillId="3" borderId="1" applyAlignment="1" pivotButton="0" quotePrefix="0" xfId="0">
      <alignment horizontal="center" vertical="center" wrapText="1"/>
    </xf>
    <xf numFmtId="3"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 applyAlignment="1" pivotButton="0" quotePrefix="0" xfId="0">
      <alignment horizontal="center" vertical="top" wrapText="1"/>
    </xf>
    <xf numFmtId="166" fontId="0" fillId="0" borderId="1" applyAlignment="1" pivotButton="0" quotePrefix="0" xfId="0">
      <alignment horizontal="center" vertical="top" wrapText="1"/>
    </xf>
    <xf numFmtId="164" fontId="0" fillId="0" borderId="1" applyAlignment="1" pivotButton="0" quotePrefix="0" xfId="0">
      <alignment horizontal="center" vertical="top" wrapText="1"/>
    </xf>
    <xf numFmtId="2" fontId="0" fillId="0" borderId="1" applyAlignment="1" pivotButton="0" quotePrefix="0" xfId="0">
      <alignment horizontal="center" vertical="top" wrapText="1"/>
    </xf>
    <xf numFmtId="0" fontId="0" fillId="7" borderId="1" applyAlignment="1" pivotButton="0" quotePrefix="0" xfId="0">
      <alignment horizontal="center" vertical="top" wrapText="1"/>
    </xf>
    <xf numFmtId="166" fontId="0" fillId="7" borderId="1" applyAlignment="1" pivotButton="0" quotePrefix="0" xfId="0">
      <alignment horizontal="center" vertical="top" wrapText="1"/>
    </xf>
    <xf numFmtId="164" fontId="0" fillId="7" borderId="1" applyAlignment="1" pivotButton="0" quotePrefix="0" xfId="0">
      <alignment horizontal="center" vertical="top" wrapText="1"/>
    </xf>
    <xf numFmtId="2" fontId="0" fillId="7" borderId="1" applyAlignment="1" pivotButton="0" quotePrefix="0" xfId="0">
      <alignment horizontal="center" vertical="top" wrapText="1"/>
    </xf>
    <xf numFmtId="0" fontId="0" fillId="5" borderId="1" applyAlignment="1" pivotButton="0" quotePrefix="0" xfId="0">
      <alignment horizontal="center" vertical="top" wrapText="1"/>
    </xf>
    <xf numFmtId="0" fontId="2" fillId="2" borderId="1" applyAlignment="1" pivotButton="0" quotePrefix="0" xfId="0">
      <alignment horizontal="center" vertical="top" wrapText="1"/>
    </xf>
    <xf numFmtId="3" fontId="0" fillId="0" borderId="1" applyAlignment="1" pivotButton="0" quotePrefix="0" xfId="0">
      <alignment horizontal="center" vertical="top" wrapText="1"/>
    </xf>
    <xf numFmtId="9" fontId="0" fillId="0" borderId="1" applyAlignment="1" pivotButton="0" quotePrefix="0" xfId="0">
      <alignment horizontal="center" vertical="top" wrapText="1"/>
    </xf>
    <xf numFmtId="164" fontId="5" fillId="0" borderId="0" applyAlignment="1" pivotButton="0" quotePrefix="0" xfId="0">
      <alignment horizontal="center" vertical="top" wrapText="1"/>
    </xf>
    <xf numFmtId="2" fontId="5" fillId="0" borderId="0" applyAlignment="1" pivotButton="0" quotePrefix="0" xfId="0">
      <alignment horizontal="center" vertical="top" wrapText="1"/>
    </xf>
    <xf numFmtId="9" fontId="5" fillId="0" borderId="0" applyAlignment="1" pivotButton="0" quotePrefix="0" xfId="0">
      <alignment horizontal="center" vertical="top" wrapText="1"/>
    </xf>
    <xf numFmtId="0" fontId="0" fillId="10" borderId="1" applyAlignment="1" pivotButton="0" quotePrefix="0" xfId="0">
      <alignment vertical="top" wrapText="1"/>
    </xf>
    <xf numFmtId="0" fontId="0" fillId="8" borderId="1" applyAlignment="1" pivotButton="0" quotePrefix="0" xfId="0">
      <alignment vertical="top" wrapText="1"/>
    </xf>
    <xf numFmtId="0" fontId="5" fillId="0" borderId="1" applyAlignment="1" pivotButton="0" quotePrefix="0" xfId="0">
      <alignment horizontal="center" vertical="top" wrapText="1"/>
    </xf>
    <xf numFmtId="0" fontId="0" fillId="0" borderId="0" pivotButton="0" quotePrefix="0" xfId="0"/>
    <xf numFmtId="0" fontId="0" fillId="0" borderId="1" applyAlignment="1" pivotButton="0" quotePrefix="0" xfId="0">
      <alignment vertical="top"/>
    </xf>
    <xf numFmtId="3" fontId="0" fillId="0" borderId="1" applyAlignment="1" pivotButton="0" quotePrefix="0" xfId="0">
      <alignment vertical="top"/>
    </xf>
    <xf numFmtId="0" fontId="0" fillId="5" borderId="1" applyAlignment="1" pivotButton="0" quotePrefix="0" xfId="0">
      <alignment vertical="top"/>
    </xf>
    <xf numFmtId="0" fontId="0" fillId="0" borderId="0" pivotButton="0" quotePrefix="0" xfId="0"/>
    <xf numFmtId="0" fontId="0" fillId="10" borderId="1" applyAlignment="1" pivotButton="0" quotePrefix="0" xfId="0">
      <alignment vertical="top"/>
    </xf>
    <xf numFmtId="0" fontId="0" fillId="0" borderId="1" applyAlignment="1" pivotButton="0" quotePrefix="0" xfId="0">
      <alignment vertical="top"/>
    </xf>
    <xf numFmtId="0" fontId="0" fillId="7"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9" fillId="0" borderId="0" pivotButton="0" quotePrefix="0" xfId="0"/>
    <xf numFmtId="0" fontId="0" fillId="11" borderId="1" pivotButton="0" quotePrefix="0" xfId="0"/>
    <xf numFmtId="0" fontId="0" fillId="4" borderId="1" applyAlignment="1" pivotButton="0" quotePrefix="0" xfId="0">
      <alignment horizontal="center" vertical="top" wrapText="1"/>
    </xf>
    <xf numFmtId="0" fontId="0" fillId="4" borderId="1" applyAlignment="1" pivotButton="0" quotePrefix="0" xfId="0">
      <alignment vertical="top" wrapText="1"/>
    </xf>
    <xf numFmtId="0" fontId="0" fillId="9" borderId="1" applyAlignment="1" pivotButton="0" quotePrefix="0" xfId="0">
      <alignment horizontal="center" vertical="top" wrapText="1"/>
    </xf>
    <xf numFmtId="0" fontId="0" fillId="9" borderId="1" applyAlignment="1" pivotButton="0" quotePrefix="0" xfId="0">
      <alignment vertical="top" wrapText="1"/>
    </xf>
    <xf numFmtId="0" fontId="10" fillId="0" borderId="0" pivotButton="0" quotePrefix="0" xfId="0"/>
    <xf numFmtId="167" fontId="0" fillId="0" borderId="1" pivotButton="0" quotePrefix="0" xfId="0"/>
    <xf numFmtId="3" fontId="5" fillId="0" borderId="0" pivotButton="0" quotePrefix="0" xfId="0"/>
    <xf numFmtId="1"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8" customWidth="1" style="112" min="1" max="1"/>
    <col width="40" customWidth="1" style="112" min="2" max="2"/>
    <col width="20" customWidth="1" style="112" min="3" max="3"/>
    <col width="24" customWidth="1" style="112" min="4" max="4"/>
    <col width="20" customWidth="1" style="112" min="5" max="5"/>
  </cols>
  <sheetData>
    <row r="1">
      <c r="A1" s="1" t="inlineStr">
        <is>
          <t>Section A. Swedish (corporate) legal market: size</t>
        </is>
      </c>
    </row>
    <row r="3">
      <c r="A3" s="47" t="inlineStr">
        <is>
          <t>A1. Headline estimates</t>
        </is>
      </c>
    </row>
    <row r="4">
      <c r="A4" s="48" t="inlineStr">
        <is>
          <t>Scope</t>
        </is>
      </c>
      <c r="B4" s="48" t="inlineStr">
        <is>
          <t>Figure</t>
        </is>
      </c>
      <c r="C4" s="48" t="inlineStr">
        <is>
          <t>Year</t>
        </is>
      </c>
      <c r="D4" s="48" t="inlineStr">
        <is>
          <t>Source</t>
        </is>
      </c>
    </row>
    <row r="5">
      <c r="A5" s="49" t="inlineStr">
        <is>
          <t>Business law: fee income, 56 largest firms (Affärsvärlden panel)</t>
        </is>
      </c>
      <c r="B5" s="49" t="inlineStr">
        <is>
          <t>~SEK 16bn (+5.3%)</t>
        </is>
      </c>
      <c r="C5" s="49" t="inlineStr">
        <is>
          <t>2025</t>
        </is>
      </c>
      <c r="D5" s="49" t="inlineStr">
        <is>
          <t>https://www.affarsvarlden.se/artikel/affarsjuridiken-vaxer-igen-men-jattarna-tappar-mark</t>
        </is>
      </c>
    </row>
    <row r="6">
      <c r="A6" s="49" t="inlineStr">
        <is>
          <t>Same panel, prior year (revised Oct-25, split FYs)</t>
        </is>
      </c>
      <c r="B6" s="49" t="inlineStr">
        <is>
          <t>SEK 15.4bn (+8.6%); SEK 4.13m fee per lawyer</t>
        </is>
      </c>
      <c r="C6" s="49" t="inlineStr">
        <is>
          <t>2024</t>
        </is>
      </c>
      <c r="D6" s="49" t="inlineStr">
        <is>
          <t>https://www.realtid.se/affarer/154-miljarder-sa-klarade-affarsjuristerna-tullchocken/</t>
        </is>
      </c>
    </row>
    <row r="7">
      <c r="A7" s="49" t="inlineStr">
        <is>
          <t>Business law market, total (industry estimate, method not given)</t>
        </is>
      </c>
      <c r="B7" s="49" t="inlineStr">
        <is>
          <t>&gt;SEK 25bn p.a.</t>
        </is>
      </c>
      <c r="C7" s="49" t="inlineStr">
        <is>
          <t>n/a</t>
        </is>
      </c>
      <c r="D7" s="49" t="inlineStr">
        <is>
          <t>https://www.affarsvarlden.se/debatt/okad-konkurrens-starker-svensk-affarsjuridik</t>
        </is>
      </c>
    </row>
    <row r="8">
      <c r="A8" s="49" t="inlineStr">
        <is>
          <t>All legal services (MarketLine)</t>
        </is>
      </c>
      <c r="B8" s="49" t="inlineStr">
        <is>
          <t>USD 3.1bn (CAGR 5.9% 2019-24)</t>
        </is>
      </c>
      <c r="C8" s="49" t="inlineStr">
        <is>
          <t>2024</t>
        </is>
      </c>
      <c r="D8" s="49" t="inlineStr">
        <is>
          <t>https://store.marketline.com/report/legal-services-in-sweden/</t>
        </is>
      </c>
    </row>
    <row r="9">
      <c r="A9" s="49" t="inlineStr">
        <is>
          <t>All legal activities (IBISWorld)</t>
        </is>
      </c>
      <c r="B9" s="49" t="inlineStr">
        <is>
          <t>EUR 3.5bn (CAGR -0.5% 2020-25)</t>
        </is>
      </c>
      <c r="C9" s="49" t="inlineStr">
        <is>
          <t>2026e</t>
        </is>
      </c>
      <c r="D9" s="49" t="inlineStr">
        <is>
          <t>https://www.ibisworld.com/sweden/industry/legal-activities/200283/</t>
        </is>
      </c>
    </row>
    <row r="10">
      <c r="A10" s="49" t="inlineStr">
        <is>
          <t>All law firms (advokatbyråer), estimate from SCB</t>
        </is>
      </c>
      <c r="B10" s="49" t="inlineStr">
        <is>
          <t>~SEK 29bn</t>
        </is>
      </c>
      <c r="C10" s="49" t="inlineStr">
        <is>
          <t>2024e</t>
        </is>
      </c>
      <c r="D10" s="49" t="inlineStr">
        <is>
          <t>74.5% share of SNI 69.1 in 2021 applied to 2024 (SCB, below)</t>
        </is>
      </c>
    </row>
    <row r="12">
      <c r="A12" s="47" t="inlineStr">
        <is>
          <t>A2. Official statistics: SCB Företagens ekonomi, net turnover (SEK m)</t>
        </is>
      </c>
    </row>
    <row r="13">
      <c r="A13" s="48" t="inlineStr">
        <is>
          <t>Year</t>
        </is>
      </c>
      <c r="B13" s="50" t="inlineStr">
        <is>
          <t>69.1 Legal activities (total)</t>
        </is>
      </c>
      <c r="C13" s="50" t="inlineStr">
        <is>
          <t>69.101 Advokatbyråer</t>
        </is>
      </c>
      <c r="D13" s="50" t="inlineStr">
        <is>
          <t>69.102 Other legal offices</t>
        </is>
      </c>
      <c r="E13" s="50" t="inlineStr">
        <is>
          <t>69.103 Patent agents</t>
        </is>
      </c>
    </row>
    <row r="14">
      <c r="A14" s="49" t="n">
        <v>2010</v>
      </c>
      <c r="B14" s="51" t="n">
        <v>18738</v>
      </c>
      <c r="C14" s="51" t="n">
        <v>13904</v>
      </c>
      <c r="D14" s="51" t="n">
        <v>1956</v>
      </c>
      <c r="E14" s="51" t="n">
        <v>2879</v>
      </c>
    </row>
    <row r="15">
      <c r="A15" s="49" t="n">
        <v>2015</v>
      </c>
      <c r="B15" s="51" t="n">
        <v>23986</v>
      </c>
      <c r="C15" s="51" t="n">
        <v>17936</v>
      </c>
      <c r="D15" s="51" t="n">
        <v>2750</v>
      </c>
      <c r="E15" s="51" t="n">
        <v>3300</v>
      </c>
    </row>
    <row r="16">
      <c r="A16" s="49" t="n">
        <v>2019</v>
      </c>
      <c r="B16" s="51" t="n">
        <v>31237</v>
      </c>
      <c r="C16" s="51" t="n">
        <v>22277</v>
      </c>
      <c r="D16" s="51" t="n">
        <v>4194</v>
      </c>
      <c r="E16" s="51" t="n">
        <v>4765</v>
      </c>
    </row>
    <row r="17">
      <c r="A17" s="49" t="n">
        <v>2020</v>
      </c>
      <c r="B17" s="51" t="n">
        <v>32628</v>
      </c>
      <c r="C17" s="51" t="n">
        <v>23298</v>
      </c>
      <c r="D17" s="51" t="n">
        <v>4371</v>
      </c>
      <c r="E17" s="51" t="n">
        <v>4958</v>
      </c>
    </row>
    <row r="18">
      <c r="A18" s="49" t="n">
        <v>2021</v>
      </c>
      <c r="B18" s="51" t="n">
        <v>34693</v>
      </c>
      <c r="C18" s="51" t="n">
        <v>25864</v>
      </c>
      <c r="D18" s="51" t="n">
        <v>4558</v>
      </c>
      <c r="E18" s="51" t="n">
        <v>4270</v>
      </c>
    </row>
    <row r="19">
      <c r="A19" s="49" t="inlineStr">
        <is>
          <t>2022*</t>
        </is>
      </c>
      <c r="B19" s="51" t="n">
        <v>33276</v>
      </c>
      <c r="C19" s="51" t="inlineStr">
        <is>
          <t>n/p</t>
        </is>
      </c>
      <c r="D19" s="51" t="inlineStr">
        <is>
          <t>n/p</t>
        </is>
      </c>
      <c r="E19" s="51" t="inlineStr">
        <is>
          <t>n/p</t>
        </is>
      </c>
    </row>
    <row r="20">
      <c r="A20" s="49" t="inlineStr">
        <is>
          <t>2023*</t>
        </is>
      </c>
      <c r="B20" s="51" t="n">
        <v>36525</v>
      </c>
      <c r="C20" s="51" t="inlineStr">
        <is>
          <t>n/p</t>
        </is>
      </c>
      <c r="D20" s="51" t="inlineStr">
        <is>
          <t>n/p</t>
        </is>
      </c>
      <c r="E20" s="51" t="inlineStr">
        <is>
          <t>n/p</t>
        </is>
      </c>
    </row>
    <row r="21">
      <c r="A21" s="49" t="inlineStr">
        <is>
          <t>2024*</t>
        </is>
      </c>
      <c r="B21" s="51" t="n">
        <v>38921</v>
      </c>
      <c r="C21" s="51" t="inlineStr">
        <is>
          <t>n/p</t>
        </is>
      </c>
      <c r="D21" s="51" t="inlineStr">
        <is>
          <t>n/p</t>
        </is>
      </c>
      <c r="E21" s="51" t="inlineStr">
        <is>
          <t>n/p</t>
        </is>
      </c>
    </row>
    <row r="22">
      <c r="A22" s="45" t="inlineStr">
        <is>
          <t>* New SCB series from 2022 (NV0109P): 2022 onward is not directly comparable to 2021; sub-industry splits not published (n/p).</t>
        </is>
      </c>
    </row>
    <row r="23">
      <c r="A23" s="45" t="inlineStr">
        <is>
          <t>69.1 in 2024: 6,965 companies, 13,446 employees; production value SEK 39.1bn, value added SEK 25.3bn, EBITDA margin 28.2%.</t>
        </is>
      </c>
    </row>
    <row r="24">
      <c r="A24" s="45" t="inlineStr">
        <is>
          <t>69.101 turnover CAGR 2010-21: ~5.8%. Source: https://api.scb.se/OV0104/v1/doris/sv/ssd/NV/NV0109/ (BasfaktaFEngs07, NSEBasfaktaFEngs07, NSEBasfaktaVEngs07N).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4" customWidth="1" style="112" min="1" max="1"/>
    <col width="30" customWidth="1" style="112" min="2" max="2"/>
    <col width="28" customWidth="1" style="112" min="3" max="3"/>
    <col width="28" customWidth="1" style="112" min="4" max="4"/>
    <col width="24" customWidth="1" style="112" min="5" max="5"/>
    <col width="30" customWidth="1" style="112" min="6" max="6"/>
    <col width="50" customWidth="1" style="112" min="7" max="7"/>
    <col width="34" customWidth="1" style="112" min="8" max="8"/>
  </cols>
  <sheetData>
    <row r="1">
      <c r="A1" s="1" t="inlineStr">
        <is>
          <t>A5. Nordic legal and business-law market comparison (SE, NO, DK, FI)</t>
        </is>
      </c>
    </row>
    <row r="3">
      <c r="A3" s="124" t="inlineStr">
        <is>
          <t>FX: Riksbank fixing, 12 Oct 2026 (latest published; SEK per unit)</t>
        </is>
      </c>
    </row>
    <row r="4">
      <c r="A4" s="99" t="inlineStr">
        <is>
          <t>Currency</t>
        </is>
      </c>
      <c r="B4" s="99" t="inlineStr">
        <is>
          <t>SEK per unit</t>
        </is>
      </c>
      <c r="C4" s="99" t="inlineStr">
        <is>
          <t>Source</t>
        </is>
      </c>
    </row>
    <row r="5">
      <c r="A5" s="6" t="inlineStr">
        <is>
          <t>USD</t>
        </is>
      </c>
      <c r="B5" s="125" t="n">
        <v>10.01386</v>
      </c>
      <c r="C5" s="6" t="inlineStr">
        <is>
          <t>https://api.riksbank.se/swea/v1/Observations/Latest/SEKUSDPMI (cross-checked vs ECB)</t>
        </is>
      </c>
    </row>
    <row r="6">
      <c r="A6" s="6" t="inlineStr">
        <is>
          <t>EUR</t>
        </is>
      </c>
      <c r="B6" s="125" t="n">
        <v>11.1965</v>
      </c>
      <c r="C6" s="6" t="inlineStr">
        <is>
          <t>https://api.riksbank.se/swea/v1/Observations/Latest/SEKEURPMI (cross-checked vs ECB)</t>
        </is>
      </c>
    </row>
    <row r="7">
      <c r="A7" s="6" t="inlineStr">
        <is>
          <t>NOK</t>
        </is>
      </c>
      <c r="B7" s="125" t="n">
        <v>1.04684</v>
      </c>
      <c r="C7" s="6" t="inlineStr">
        <is>
          <t>https://api.riksbank.se/swea/v1/Observations/Latest/SEKNOKPMI (cross-checked vs ECB)</t>
        </is>
      </c>
    </row>
    <row r="8">
      <c r="A8" s="6" t="inlineStr">
        <is>
          <t>DKK</t>
        </is>
      </c>
      <c r="B8" s="125" t="n">
        <v>1.4979</v>
      </c>
      <c r="C8" s="6" t="inlineStr">
        <is>
          <t>https://api.riksbank.se/swea/v1/Observations/Latest/SEKDKKPMI (cross-checked vs ECB)</t>
        </is>
      </c>
    </row>
    <row r="10">
      <c r="A10" s="124" t="inlineStr">
        <is>
          <t>Market size, 2024 (local currency m and SEK m at today's FX)</t>
        </is>
      </c>
    </row>
    <row r="11">
      <c r="A11" s="99" t="inlineStr">
        <is>
          <t>Measure</t>
        </is>
      </c>
      <c r="B11" s="99" t="inlineStr">
        <is>
          <t>Country</t>
        </is>
      </c>
      <c r="C11" s="99" t="inlineStr">
        <is>
          <t>Currency</t>
        </is>
      </c>
      <c r="D11" s="99" t="inlineStr">
        <is>
          <t>Local (m)</t>
        </is>
      </c>
      <c r="E11" s="99" t="inlineStr">
        <is>
          <t>SEK m</t>
        </is>
      </c>
      <c r="F11" s="99" t="inlineStr">
        <is>
          <t>Year</t>
        </is>
      </c>
      <c r="G11" s="99" t="inlineStr">
        <is>
          <t>Source / note</t>
        </is>
      </c>
    </row>
    <row r="12">
      <c r="A12" s="49" t="inlineStr">
        <is>
          <t>Legal activities (NACE 69.1), official</t>
        </is>
      </c>
      <c r="B12" s="90" t="inlineStr">
        <is>
          <t>Sweden</t>
        </is>
      </c>
      <c r="C12" s="90" t="inlineStr">
        <is>
          <t>SEK</t>
        </is>
      </c>
      <c r="D12" s="100" t="n">
        <v>38921</v>
      </c>
      <c r="E12" s="100">
        <f>D12*1</f>
        <v/>
      </c>
      <c r="F12" s="90" t="inlineStr">
        <is>
          <t>2024</t>
        </is>
      </c>
      <c r="G12" s="49" t="inlineStr">
        <is>
          <t>SCB Företagens ekonomi</t>
        </is>
      </c>
    </row>
    <row r="13">
      <c r="A13" s="49" t="inlineStr">
        <is>
          <t>Legal activities (NACE 69.1), official</t>
        </is>
      </c>
      <c r="B13" s="90" t="inlineStr">
        <is>
          <t>Norway</t>
        </is>
      </c>
      <c r="C13" s="90" t="inlineStr">
        <is>
          <t>NOK</t>
        </is>
      </c>
      <c r="D13" s="100" t="n">
        <v>27518</v>
      </c>
      <c r="E13" s="100">
        <f>D13*$B$7</f>
        <v/>
      </c>
      <c r="F13" s="90" t="inlineStr">
        <is>
          <t>2024</t>
        </is>
      </c>
      <c r="G13" s="49" t="inlineStr">
        <is>
          <t>SSB table 08206 / 12817</t>
        </is>
      </c>
    </row>
    <row r="14">
      <c r="A14" s="49" t="inlineStr">
        <is>
          <t>Legal activities (NACE 69.10), official</t>
        </is>
      </c>
      <c r="B14" s="90" t="inlineStr">
        <is>
          <t>Denmark</t>
        </is>
      </c>
      <c r="C14" s="90" t="inlineStr">
        <is>
          <t>DKK</t>
        </is>
      </c>
      <c r="D14" s="100" t="n">
        <v>19480</v>
      </c>
      <c r="E14" s="100">
        <f>D14*$B$8</f>
        <v/>
      </c>
      <c r="F14" s="90" t="inlineStr">
        <is>
          <t>2024</t>
        </is>
      </c>
      <c r="G14" s="49" t="inlineStr">
        <is>
          <t>Danmarks Statistik GF11</t>
        </is>
      </c>
    </row>
    <row r="15">
      <c r="A15" s="49" t="inlineStr">
        <is>
          <t>Legal activities (TOL 691), official</t>
        </is>
      </c>
      <c r="B15" s="90" t="inlineStr">
        <is>
          <t>Finland</t>
        </is>
      </c>
      <c r="C15" s="90" t="inlineStr">
        <is>
          <t>EUR</t>
        </is>
      </c>
      <c r="D15" s="100" t="n">
        <v>1177</v>
      </c>
      <c r="E15" s="100">
        <f>D15*$B$6</f>
        <v/>
      </c>
      <c r="F15" s="90" t="inlineStr">
        <is>
          <t>2024</t>
        </is>
      </c>
      <c r="G15" s="49" t="inlineStr">
        <is>
          <t>Statistics Finland 13w3 (2025: EUR 1,276m; incl. patent offices ~EUR 109m)</t>
        </is>
      </c>
    </row>
    <row r="16">
      <c r="A16" s="49" t="inlineStr">
        <is>
          <t>Business law: official / best estimate</t>
        </is>
      </c>
      <c r="B16" s="90" t="inlineStr">
        <is>
          <t>Sweden</t>
        </is>
      </c>
      <c r="C16" s="90" t="inlineStr">
        <is>
          <t>SEK</t>
        </is>
      </c>
      <c r="D16" s="100" t="n">
        <v>16000</v>
      </c>
      <c r="E16" s="100">
        <f>D16*1</f>
        <v/>
      </c>
      <c r="F16" s="90" t="inlineStr">
        <is>
          <t>2025</t>
        </is>
      </c>
      <c r="G16" s="49" t="inlineStr">
        <is>
          <t>Afv panel of 56 largest firms (floor); industry estimate &gt;SEK 25bn</t>
        </is>
      </c>
    </row>
    <row r="17">
      <c r="A17" s="49" t="inlineStr">
        <is>
          <t>Business law: official / best estimate</t>
        </is>
      </c>
      <c r="B17" s="90" t="inlineStr">
        <is>
          <t>Norway</t>
        </is>
      </c>
      <c r="C17" s="90" t="inlineStr">
        <is>
          <t>NOK</t>
        </is>
      </c>
      <c r="D17" s="100" t="n">
        <v>15604</v>
      </c>
      <c r="E17" s="100">
        <f>D17*$B$7</f>
        <v/>
      </c>
      <c r="F17" s="90" t="inlineStr">
        <is>
          <t>2024</t>
        </is>
      </c>
      <c r="G17" s="49" t="inlineStr">
        <is>
          <t>SSB service split "forretningsrett" (57% of 69.1)</t>
        </is>
      </c>
    </row>
    <row r="18">
      <c r="A18" s="49" t="inlineStr">
        <is>
          <t>Business law: official / best estimate</t>
        </is>
      </c>
      <c r="B18" s="90" t="inlineStr">
        <is>
          <t>Denmark</t>
        </is>
      </c>
      <c r="C18" s="90" t="inlineStr">
        <is>
          <t>DKK</t>
        </is>
      </c>
      <c r="D18" s="100" t="n">
        <v>13050</v>
      </c>
      <c r="E18" s="100">
        <f>D18*$B$8</f>
        <v/>
      </c>
      <c r="F18" s="90" t="inlineStr">
        <is>
          <t>2024e</t>
        </is>
      </c>
      <c r="G18" s="49" t="inlineStr">
        <is>
          <t>Estimate: business clients ~67% of sector turnover (2018, Økonomistyrelsen expert group) x 2024 turnover</t>
        </is>
      </c>
    </row>
    <row r="19">
      <c r="A19" s="49" t="inlineStr">
        <is>
          <t>Business law: official / best estimate</t>
        </is>
      </c>
      <c r="B19" s="90" t="inlineStr">
        <is>
          <t>Finland</t>
        </is>
      </c>
      <c r="C19" s="90" t="inlineStr">
        <is>
          <t>EUR</t>
        </is>
      </c>
      <c r="D19" s="100" t="n">
        <v>600</v>
      </c>
      <c r="E19" s="100">
        <f>D19*$B$6</f>
        <v/>
      </c>
      <c r="F19" s="90" t="inlineStr">
        <is>
          <t>2025e</t>
        </is>
      </c>
      <c r="G19" s="49" t="inlineStr">
        <is>
          <t>Estimate EUR 0.55-0.65bn: top-20 firms ~EUR 581m + tail</t>
        </is>
      </c>
    </row>
    <row r="20">
      <c r="A20" s="46" t="inlineStr">
        <is>
          <t>Nordic total, legal activities</t>
        </is>
      </c>
      <c r="E20" s="126">
        <f>SUM(E12:E15)</f>
        <v/>
      </c>
    </row>
    <row r="21">
      <c r="A21" s="46" t="inlineStr">
        <is>
          <t>Nordic total, business law (estimate)</t>
        </is>
      </c>
      <c r="E21" s="126">
        <f>SUM(E16:E19)</f>
        <v/>
      </c>
      <c r="G21" s="2" t="inlineStr">
        <is>
          <t>Sweden at panel floor (SEK 16bn); using SEK 20-25bn for Sweden gives ~SEK 64-69bn</t>
        </is>
      </c>
    </row>
    <row r="23">
      <c r="A23" s="124" t="inlineStr">
        <is>
          <t>Structure and growth (Eurostat SBS M69.1, 2024, EUR; consistent basis)</t>
        </is>
      </c>
    </row>
    <row r="24">
      <c r="A24" s="99" t="inlineStr">
        <is>
          <t>Country</t>
        </is>
      </c>
      <c r="B24" s="99" t="inlineStr">
        <is>
          <t>Turnover EUR m</t>
        </is>
      </c>
      <c r="C24" s="99" t="inlineStr">
        <is>
          <t>Turnover SEK m</t>
        </is>
      </c>
      <c r="D24" s="99" t="inlineStr">
        <is>
          <t>Enterprises</t>
        </is>
      </c>
      <c r="E24" s="99" t="inlineStr">
        <is>
          <t>Employees</t>
        </is>
      </c>
      <c r="F24" s="99" t="inlineStr">
        <is>
          <t>Turnover / employee EUR k</t>
        </is>
      </c>
      <c r="G24" s="99" t="inlineStr">
        <is>
          <t>Local CAGR</t>
        </is>
      </c>
      <c r="H24" s="99" t="inlineStr">
        <is>
          <t>Lawyers (Bar)</t>
        </is>
      </c>
    </row>
    <row r="25">
      <c r="A25" s="49" t="inlineStr">
        <is>
          <t>Sweden</t>
        </is>
      </c>
      <c r="B25" s="100" t="n">
        <v>3404.44</v>
      </c>
      <c r="C25" s="100">
        <f>B25*$B$6</f>
        <v/>
      </c>
      <c r="D25" s="100" t="n">
        <v>6965</v>
      </c>
      <c r="E25" s="100" t="n">
        <v>17521</v>
      </c>
      <c r="F25" s="127">
        <f>B25/E25*1000</f>
        <v/>
      </c>
      <c r="G25" s="49" t="inlineStr">
        <is>
          <t>~8% p.a. 2022-24 (SCB new series); 5.8% 2010-21</t>
        </is>
      </c>
      <c r="H25" s="49" t="inlineStr">
        <is>
          <t>6,712 members (5,963 practising), end-2025</t>
        </is>
      </c>
    </row>
    <row r="26">
      <c r="A26" s="49" t="inlineStr">
        <is>
          <t>Norway</t>
        </is>
      </c>
      <c r="B26" s="100" t="n">
        <v>2366.31</v>
      </c>
      <c r="C26" s="100">
        <f>B26*$B$6</f>
        <v/>
      </c>
      <c r="D26" s="100" t="n">
        <v>2214</v>
      </c>
      <c r="E26" s="100" t="n">
        <v>9264</v>
      </c>
      <c r="F26" s="127">
        <f>B26/E26*1000</f>
        <v/>
      </c>
      <c r="G26" s="49" t="inlineStr">
        <is>
          <t>9.3% p.a. 2019-24 (SSB)</t>
        </is>
      </c>
      <c r="H26" s="49" t="inlineStr">
        <is>
          <t>10,756 Advokatforeningen members incl. trainees (2025)</t>
        </is>
      </c>
    </row>
    <row r="27">
      <c r="A27" s="49" t="inlineStr">
        <is>
          <t>Denmark</t>
        </is>
      </c>
      <c r="B27" s="100" t="n">
        <v>2610.51</v>
      </c>
      <c r="C27" s="100">
        <f>B27*$B$6</f>
        <v/>
      </c>
      <c r="D27" s="100" t="n">
        <v>1912</v>
      </c>
      <c r="E27" s="100" t="n">
        <v>13158</v>
      </c>
      <c r="F27" s="127">
        <f>B27/E27*1000</f>
        <v/>
      </c>
      <c r="G27" s="49" t="inlineStr">
        <is>
          <t>4.5% p.a. 2019-24 (DST)</t>
        </is>
      </c>
      <c r="H27" s="49" t="inlineStr">
        <is>
          <t>~7,760 lawyers incl. in-house (end-2025)</t>
        </is>
      </c>
    </row>
    <row r="28">
      <c r="A28" s="49" t="inlineStr">
        <is>
          <t>Finland</t>
        </is>
      </c>
      <c r="B28" s="100" t="n">
        <v>1177.38</v>
      </c>
      <c r="C28" s="100">
        <f>B28*$B$6</f>
        <v/>
      </c>
      <c r="D28" s="100" t="n">
        <v>2726</v>
      </c>
      <c r="E28" s="100" t="n">
        <v>6509</v>
      </c>
      <c r="F28" s="127">
        <f>B28/E28*1000</f>
        <v/>
      </c>
      <c r="G28" s="49" t="inlineStr">
        <is>
          <t>4.9% p.a. 2019-25 (StatFin)</t>
        </is>
      </c>
      <c r="H28" s="49" t="inlineStr">
        <is>
          <t>2,443 asianajajat + 1,778 licensed counsel (end-2025)</t>
        </is>
      </c>
    </row>
    <row r="29">
      <c r="A29" s="46" t="inlineStr">
        <is>
          <t>Total</t>
        </is>
      </c>
      <c r="B29" s="58">
        <f>SUM(B25:B28)</f>
        <v/>
      </c>
      <c r="C29" s="58">
        <f>SUM(C25:C28)</f>
        <v/>
      </c>
      <c r="D29" s="58">
        <f>SUM(D25:D28)</f>
        <v/>
      </c>
      <c r="E29" s="58">
        <f>SUM(E25:E28)</f>
        <v/>
      </c>
    </row>
    <row r="31">
      <c r="A31" s="124" t="inlineStr">
        <is>
          <t>Leading firms and concentration</t>
        </is>
      </c>
    </row>
    <row r="32">
      <c r="A32" s="99" t="inlineStr">
        <is>
          <t>Country</t>
        </is>
      </c>
      <c r="B32" s="99" t="inlineStr">
        <is>
          <t>Largest firm (revenue)</t>
        </is>
      </c>
      <c r="C32" s="99" t="inlineStr">
        <is>
          <t>Top-5 revenue</t>
        </is>
      </c>
      <c r="D32" s="99" t="inlineStr">
        <is>
          <t>Concentration</t>
        </is>
      </c>
      <c r="E32" s="99" t="inlineStr">
        <is>
          <t>Revenue per employee, large firms</t>
        </is>
      </c>
      <c r="F32" s="99" t="inlineStr">
        <is>
          <t>Partner / hourly rate evidence</t>
        </is>
      </c>
      <c r="G32" s="99" t="inlineStr">
        <is>
          <t>Ownership rules for external capital</t>
        </is>
      </c>
    </row>
    <row r="33">
      <c r="A33" s="49" t="inlineStr">
        <is>
          <t>Sweden</t>
        </is>
      </c>
      <c r="B33" s="49" t="inlineStr">
        <is>
          <t>Vinge SEK 2,036m (2025)</t>
        </is>
      </c>
      <c r="C33" s="49" t="inlineStr">
        <is>
          <t>Top-5 ~46% of Afv panel (FY2024)</t>
        </is>
      </c>
      <c r="D33" s="49" t="inlineStr">
        <is>
          <t>Top-10 ~66% of panel</t>
        </is>
      </c>
      <c r="E33" s="49" t="inlineStr">
        <is>
          <t>SEK 3.1-3.9m (MSA, Vinge, 2025)</t>
        </is>
      </c>
      <c r="F33" s="49" t="inlineStr">
        <is>
          <t>Partner list SEK 6,000-10,000/h (2025-26)</t>
        </is>
      </c>
      <c r="G33" s="49" t="inlineStr">
        <is>
          <t>Bar firms lawyer-owned only; route = leave the Bar (AGRD: 9+ firms since 2025); Bar reviewing rules 2026</t>
        </is>
      </c>
    </row>
    <row r="34">
      <c r="A34" s="49" t="inlineStr">
        <is>
          <t>Norway</t>
        </is>
      </c>
      <c r="B34" s="49" t="inlineStr">
        <is>
          <t>Schjødt NOK 2,498m (2025, consolidated incl. SE/DK/UK)</t>
        </is>
      </c>
      <c r="C34" s="49" t="inlineStr">
        <is>
          <t>NOK 9.4bn (2025): Schjødt, Wikborg Rein, Thommessen, BAHR, Wiersholm</t>
        </is>
      </c>
      <c r="D34" s="49" t="inlineStr">
        <is>
          <t>Top-5 ~31% of SSB 69.1 (2024); top-100 NOK 22.2bn</t>
        </is>
      </c>
      <c r="E34" s="49" t="inlineStr">
        <is>
          <t>NOK 4.7-5.5m (Thommessen, Wiersholm, BAHR, 2025)</t>
        </is>
      </c>
      <c r="F34" s="49" t="inlineStr">
        <is>
          <t>Blended ~NOK 5,500/h (Wiersholm, court ruling)</t>
        </is>
      </c>
      <c r="G34" s="49" t="inlineStr">
        <is>
          <t>Lawyers Act 2025: owners must work in the firm, lawyer board majority; passive / PE ownership not permitted for advokat firms</t>
        </is>
      </c>
    </row>
    <row r="35">
      <c r="A35" s="49" t="inlineStr">
        <is>
          <t>Denmark</t>
        </is>
      </c>
      <c r="B35" s="49" t="inlineStr">
        <is>
          <t>Gorrissen Federspiel DKK 1,311m (2025)</t>
        </is>
      </c>
      <c r="C35" s="49" t="inlineStr">
        <is>
          <t>Gorrissen, Plesner, Bech-Bruun, Accura, DLA Piper ~DKK 5.5bn (2025)</t>
        </is>
      </c>
      <c r="D35" s="49" t="inlineStr">
        <is>
          <t>Top-10 ~44% of sector (2022, KFST); est. 47-49% (2025)</t>
        </is>
      </c>
      <c r="E35" s="49" t="inlineStr">
        <is>
          <t>DKK 2.4-2.55m per FTE (2025)</t>
        </is>
      </c>
      <c r="F35" s="49" t="inlineStr">
        <is>
          <t>Partner DKK 2,057-5,400/h (2023, mid-market); Kammeradvokat DKK 2,710</t>
        </is>
      </c>
      <c r="G35" s="49" t="inlineStr">
        <is>
          <t>Law-firm shares only for practising lawyers / staff (BEK 1427/2007); advocates' court monopoly</t>
        </is>
      </c>
    </row>
    <row r="36">
      <c r="A36" s="49" t="inlineStr">
        <is>
          <t>Finland</t>
        </is>
      </c>
      <c r="B36" s="49" t="inlineStr">
        <is>
          <t>Roschier EUR 99m (FY05/2026)</t>
        </is>
      </c>
      <c r="C36" s="49" t="inlineStr">
        <is>
          <t>EUR ~349m: Roschier, Krogerus, Hannes Snellman, Borenius, Castrén &amp; Snellman</t>
        </is>
      </c>
      <c r="D36" s="49" t="inlineStr">
        <is>
          <t>Top-5 ~27% of TOL 691 (2025); top-5 ~55% of top-30</t>
        </is>
      </c>
      <c r="E36" s="49" t="inlineStr">
        <is>
          <t>EUR 205-384k per staff (top-10)</t>
        </is>
      </c>
      <c r="F36" s="49" t="inlineStr">
        <is>
          <t>No current survey (2012 median EUR 200/h)</t>
        </is>
      </c>
      <c r="G36" s="49" t="inlineStr">
        <is>
          <t>Bar firms lawyer-owned; licensed-counsel route gives full rights of audience; Fondia (listed, non-Bar)</t>
        </is>
      </c>
    </row>
    <row r="38">
      <c r="A38" s="124" t="inlineStr">
        <is>
          <t>Consolidation and international activity, 2020-2026</t>
        </is>
      </c>
    </row>
    <row r="39">
      <c r="A39" s="99" t="inlineStr">
        <is>
          <t>Country</t>
        </is>
      </c>
      <c r="B39" s="99" t="inlineStr">
        <is>
          <t>Activity</t>
        </is>
      </c>
    </row>
    <row r="40">
      <c r="A40" s="49" t="inlineStr">
        <is>
          <t>Sweden</t>
        </is>
      </c>
      <c r="B40" s="49" t="inlineStr">
        <is>
          <t>AGRD (Axcel) roll-up of 9+ firms since Aug-2025 incl. Setterwalls Malmö; CMS-Wistrand (2024); BAHR Stockholm (2026); Schjødt-Hamilton (2020); Magnusson-Gro, Walthon Ramberg (2026); Hannes Snellman split (2024); MAQS split (2027)</t>
        </is>
      </c>
    </row>
    <row r="41">
      <c r="A41" s="49" t="inlineStr">
        <is>
          <t>Norway</t>
        </is>
      </c>
      <c r="B41" s="49" t="inlineStr">
        <is>
          <t>Schjødt-Hamilton SE (2020), Copenhagen (2022), Norrbom Vinding DK (Mar-2026); BAHR opens Stockholm and Copenhagen (2025-26) after hiring ~18 Schjødt partners; Ræder Bing (2023), Lippestad / Bache-Wiig and Tofte Hald (2024); Cedra buys Big-4 regional law offices (Dec-2025)</t>
        </is>
      </c>
    </row>
    <row r="42">
      <c r="A42" s="49" t="inlineStr">
        <is>
          <t>Denmark</t>
        </is>
      </c>
      <c r="B42" s="49" t="inlineStr">
        <is>
          <t>HortenDahl merger (Jan-2026); DLA Piper takes 49 from Lundgrens (Mar-2025); Schjødt-Norrbom Vinding (Mar-2026); Kromann Reumert converts to P/S (Nov-2025); proposal to open Kammeradvokat mandate (~DKK 0.7bn) to competition</t>
        </is>
      </c>
    </row>
    <row r="43">
      <c r="A43" s="49" t="inlineStr">
        <is>
          <t>Finland</t>
        </is>
      </c>
      <c r="B43" s="49" t="inlineStr">
        <is>
          <t>Hannes Snellman split (2024); DLA Piper-Project Law (2023); Merilampi-I&amp;O Partners (2025, single source); no PE investment found; Fondia (listed) shrinking</t>
        </is>
      </c>
    </row>
    <row r="45">
      <c r="A45" s="45" t="inlineStr">
        <is>
          <t>Sources: SCB; SSB tables 08206 / 12817; Danmarks Statistik GF11 / REGN1; Statistics Finland 13w3; Eurostat sbs_ovw_act (M691); Advokatbladet / Kapital JUS (NO league tables); Proff.dk filed accounts and Økonomisk Ugebrev (DK); Asiakastieto / DM Faster (FI); Økonomistyrelsen expert group Dec-2024 (DK); national Bar associations.</t>
        </is>
      </c>
    </row>
    <row r="46">
      <c r="A46" s="45" t="inlineStr">
        <is>
          <t>Caveats: official statistics measure all legal activities, not business law only (Norway is the only country publishing a business-law split). Firm revenues use different fiscal years and entity scopes (e.g. Schjødt consolidated). Business-law figures for Sweden, Denmark and Finland are estimates. FX: Riksbank 12 Oct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4" customWidth="1" style="112" min="1" max="1"/>
    <col width="22" customWidth="1" style="112" min="2" max="2"/>
    <col width="16" customWidth="1" style="112" min="3" max="3"/>
    <col width="14" customWidth="1" style="112" min="4" max="4"/>
    <col width="80" customWidth="1" style="112" min="5" max="5"/>
    <col width="60" customWidth="1" style="112" min="6" max="6"/>
  </cols>
  <sheetData>
    <row r="1">
      <c r="A1" s="1" t="inlineStr">
        <is>
          <t>A3. Fastest growers and growth drivers</t>
        </is>
      </c>
    </row>
    <row r="2">
      <c r="A2" s="45" t="inlineStr">
        <is>
          <t>Driver tags: Lateral hire / M&amp;A / New office / Organic. Only drivers found in a cited source are listed.</t>
        </is>
      </c>
    </row>
    <row r="4">
      <c r="A4" s="48" t="inlineStr">
        <is>
          <t>Firm</t>
        </is>
      </c>
      <c r="B4" s="48" t="inlineStr">
        <is>
          <t>Growth</t>
        </is>
      </c>
      <c r="C4" s="48" t="inlineStr">
        <is>
          <t>Period</t>
        </is>
      </c>
      <c r="D4" s="48" t="inlineStr">
        <is>
          <t>Driver</t>
        </is>
      </c>
      <c r="E4" s="48" t="inlineStr">
        <is>
          <t>Detail</t>
        </is>
      </c>
      <c r="F4" s="48" t="inlineStr">
        <is>
          <t>Source</t>
        </is>
      </c>
    </row>
    <row r="5">
      <c r="A5" s="49" t="inlineStr">
        <is>
          <t>Carthiel</t>
        </is>
      </c>
      <c r="B5" s="49" t="inlineStr">
        <is>
          <t>+155%</t>
        </is>
      </c>
      <c r="C5" s="49" t="inlineStr">
        <is>
          <t>2024</t>
        </is>
      </c>
      <c r="D5" s="49" t="inlineStr">
        <is>
          <t>M&amp;A</t>
        </is>
      </c>
      <c r="E5" s="49" t="inlineStr">
        <is>
          <t>Merged with Grey Advokatbyrå (operating from Feb-2024), adding a disputes team. Small base (~10 people).</t>
        </is>
      </c>
      <c r="F5" s="49" t="inlineStr">
        <is>
          <t>https://www.carthiel.se/post/advokatfirman-carthiel-g%C3%A5r-ihop-med-grey-advokatbyr%C3%A5</t>
        </is>
      </c>
    </row>
    <row r="6">
      <c r="A6" s="49" t="inlineStr">
        <is>
          <t>White &amp; Case (Stockholm)</t>
        </is>
      </c>
      <c r="B6" s="49" t="inlineStr">
        <is>
          <t>+29% (AB net sales 859 to 1,108)</t>
        </is>
      </c>
      <c r="C6" s="49" t="inlineStr">
        <is>
          <t>2025</t>
        </is>
      </c>
      <c r="D6" s="49" t="inlineStr">
        <is>
          <t>Organic</t>
        </is>
      </c>
      <c r="E6" s="49" t="inlineStr">
        <is>
          <t>Fastest grower in 2023 (+24%) on PE deals and selective hiring; "doubled revenue" coverage Nov-25. Lost Magnus Wennerhorn to Linklaters (Sep-24).</t>
        </is>
      </c>
      <c r="F6" s="49" t="inlineStr">
        <is>
          <t>https://www.realtid.se/juridik/white-case-dubblade-omsattningen-var-styrka/</t>
        </is>
      </c>
    </row>
    <row r="7">
      <c r="A7" s="49" t="inlineStr">
        <is>
          <t>Schjødt (Sweden)</t>
        </is>
      </c>
      <c r="B7" s="49" t="inlineStr">
        <is>
          <t>+24% / ~+25%</t>
        </is>
      </c>
      <c r="C7" s="49" t="inlineStr">
        <is>
          <t>2024 / 2025</t>
        </is>
      </c>
      <c r="D7" s="49" t="inlineStr">
        <is>
          <t>Lateral hire</t>
        </is>
      </c>
      <c r="E7" s="49" t="inlineStr">
        <is>
          <t>Tom Wehtje (M&amp;A) joined 2024 from Mannheimer Swartling after 15 years as partner; Karl Klackenberg (M&amp;A/PE) reportedly from Vinge May-24 (unconfirmed).</t>
        </is>
      </c>
      <c r="F7" s="49" t="inlineStr">
        <is>
          <t>https://www.legal500.com/firms/10502-advokatfirmaet-schjodt-as/c-sweden/lawyers/2101480-tom-wehtje</t>
        </is>
      </c>
    </row>
    <row r="8">
      <c r="A8" s="49" t="inlineStr"/>
      <c r="B8" s="49" t="inlineStr"/>
      <c r="C8" s="49" t="inlineStr"/>
      <c r="D8" s="49" t="inlineStr">
        <is>
          <t>Organic</t>
        </is>
      </c>
      <c r="E8" s="49" t="inlineStr">
        <is>
          <t>Demand for pan-Scandinavian cross-border offering, FDI and regulatory work.</t>
        </is>
      </c>
      <c r="F8" s="49" t="inlineStr">
        <is>
          <t>https://www.affarsvarlden.se/artikel/vinge-gar-om-msa-sa-gar-det-for-affarsjuristerna</t>
        </is>
      </c>
    </row>
    <row r="9">
      <c r="A9" s="49" t="inlineStr"/>
      <c r="B9" s="49" t="inlineStr"/>
      <c r="C9" s="49" t="inlineStr"/>
      <c r="D9" s="49" t="inlineStr">
        <is>
          <t>M&amp;A (historic)</t>
        </is>
      </c>
      <c r="E9" s="49" t="inlineStr">
        <is>
          <t>Entered Sweden via merger with Hamilton (2019/20). Risk: 54 people (23 partners, group-wide) left for BAHR, which opened Stockholm Jan-26.</t>
        </is>
      </c>
      <c r="F9" s="49" t="inlineStr">
        <is>
          <t>https://www.realtid.se/juridik/oppnar-stockholmskontor-efter-massvarvning-fran-rivalen/</t>
        </is>
      </c>
    </row>
    <row r="10">
      <c r="A10" s="49" t="inlineStr">
        <is>
          <t>Roschier (Sweden)</t>
        </is>
      </c>
      <c r="B10" s="49" t="inlineStr">
        <is>
          <t>+23% / +22%</t>
        </is>
      </c>
      <c r="C10" s="49" t="inlineStr">
        <is>
          <t>FY23/24 / FY24/25</t>
        </is>
      </c>
      <c r="D10" s="49" t="inlineStr">
        <is>
          <t>Organic</t>
        </is>
      </c>
      <c r="E10" s="49" t="inlineStr">
        <is>
          <t>Swedish transaction market pick-up, larger mandates, high disputes demand, closer Finland-Sweden integration; Northvolt Expansion Ett restructuring. Stockholm now larger than Helsinki.</t>
        </is>
      </c>
      <c r="F10" s="49" t="inlineStr">
        <is>
          <t>https://www.realtid.se/affarer/154-miljarder-sa-klarade-affarsjuristerna-tullchocken/</t>
        </is>
      </c>
    </row>
    <row r="11">
      <c r="A11" s="49" t="inlineStr">
        <is>
          <t>MAQS</t>
        </is>
      </c>
      <c r="B11" s="49" t="inlineStr">
        <is>
          <t>+21%</t>
        </is>
      </c>
      <c r="C11" s="49" t="inlineStr">
        <is>
          <t>2024</t>
        </is>
      </c>
      <c r="D11" s="49" t="inlineStr">
        <is>
          <t>Organic</t>
        </is>
      </c>
      <c r="E11" s="49" t="inlineStr">
        <is>
          <t>Strong demand in M&amp;A, capital markets and disputes (CEO Katrin Troedsson).</t>
        </is>
      </c>
      <c r="F11" s="49" t="inlineStr">
        <is>
          <t>https://www.affarsvarlden.se/artikel/vinge-gar-om-msa-sa-gar-det-for-affarsjuristerna</t>
        </is>
      </c>
    </row>
    <row r="12">
      <c r="A12" s="49" t="inlineStr"/>
      <c r="B12" s="49" t="inlineStr"/>
      <c r="C12" s="49" t="inlineStr"/>
      <c r="D12" s="49" t="inlineStr">
        <is>
          <t>Lateral hire</t>
        </is>
      </c>
      <c r="E12" s="49" t="inlineStr">
        <is>
          <t>Strategic sustainability hires, e.g. Anna Domander (ex head of legal, Systembolaget); date not given.</t>
        </is>
      </c>
      <c r="F12" s="49" t="inlineStr">
        <is>
          <t>https://www.affarsvarlden.se/artikel/vinge-gar-om-msa-sa-gar-det-for-affarsjuristerna</t>
        </is>
      </c>
    </row>
    <row r="13">
      <c r="A13" s="49" t="inlineStr">
        <is>
          <t>Vinge</t>
        </is>
      </c>
      <c r="B13" s="49" t="inlineStr">
        <is>
          <t>+19%</t>
        </is>
      </c>
      <c r="C13" s="49" t="inlineStr">
        <is>
          <t>2024</t>
        </is>
      </c>
      <c r="D13" s="49" t="inlineStr">
        <is>
          <t>Organic</t>
        </is>
      </c>
      <c r="E13" s="49" t="inlineStr">
        <is>
          <t>Broad client activity and full-service model; accounted for ~25% of total market growth. Then -2% in 2025 ("2024 exceptional").</t>
        </is>
      </c>
      <c r="F13" s="49" t="inlineStr">
        <is>
          <t>https://www.affarsvarlden.se/artikel/vinge-gar-om-msa-sa-gar-det-for-affarsjuristerna</t>
        </is>
      </c>
    </row>
    <row r="14">
      <c r="A14" s="49" t="inlineStr">
        <is>
          <t>Gernandt &amp; Danielsson</t>
        </is>
      </c>
      <c r="B14" s="49" t="inlineStr">
        <is>
          <t>+19% / +12%</t>
        </is>
      </c>
      <c r="C14" s="49" t="inlineStr">
        <is>
          <t>FY23/24 / FY24/25</t>
        </is>
      </c>
      <c r="D14" s="49" t="inlineStr">
        <is>
          <t>Lateral hire</t>
        </is>
      </c>
      <c r="E14" s="49" t="inlineStr">
        <is>
          <t>Linklaters Stockholm real estate team: partners Magnus Lidman and Anna Eriksson + 5 associates (effective 1 Jun 2024, G&amp;D press release).</t>
        </is>
      </c>
      <c r="F14" s="49" t="inlineStr">
        <is>
          <t>https://www.affarsvarlden.se/artikel/affarsjuristerna-gar-starkt-finns-fler-bolag-i-ipo-pipelinen</t>
        </is>
      </c>
    </row>
    <row r="15">
      <c r="A15" s="49" t="inlineStr"/>
      <c r="B15" s="49" t="inlineStr"/>
      <c r="C15" s="49" t="inlineStr"/>
      <c r="D15" s="49" t="inlineStr">
        <is>
          <t>Organic</t>
        </is>
      </c>
      <c r="E15" s="49" t="inlineStr">
        <is>
          <t>Strong bond and M&amp;A teams.</t>
        </is>
      </c>
      <c r="F15" s="49" t="inlineStr">
        <is>
          <t>https://www.affarsvarlden.se/artikel/affarsjuristerna-gar-starkt-finns-fler-bolag-i-ipo-pipelinen</t>
        </is>
      </c>
    </row>
    <row r="16">
      <c r="A16" s="49" t="inlineStr">
        <is>
          <t>Cirio</t>
        </is>
      </c>
      <c r="B16" s="49" t="inlineStr">
        <is>
          <t>~+15%</t>
        </is>
      </c>
      <c r="C16" s="49" t="inlineStr">
        <is>
          <t>2025</t>
        </is>
      </c>
      <c r="D16" s="49" t="inlineStr">
        <is>
          <t>Lateral hire</t>
        </is>
      </c>
      <c r="E16" s="49" t="inlineStr">
        <is>
          <t>12-person real estate and construction team from AG Advokat from Jan-25, incl. partners Johan Lindberg, Johan Rosén, Måns Derk; new construction disputes offering.</t>
        </is>
      </c>
      <c r="F16" s="49" t="inlineStr">
        <is>
          <t>https://www.realtid.se/juridik/cirio-expanderar-inom-fastighets-och-entreprenadjuridik/</t>
        </is>
      </c>
    </row>
    <row r="17">
      <c r="A17" s="49" t="inlineStr"/>
      <c r="B17" s="49" t="inlineStr"/>
      <c r="C17" s="49" t="inlineStr"/>
      <c r="D17" s="49" t="inlineStr">
        <is>
          <t>Organic</t>
        </is>
      </c>
      <c r="E17" s="49" t="inlineStr">
        <is>
          <t>Investment in real estate transactions and insolvency.</t>
        </is>
      </c>
      <c r="F17" s="49" t="inlineStr">
        <is>
          <t>https://www.realtid.se/juridik/affarsjuridiken-vaxer-men-sprickorna-syns/</t>
        </is>
      </c>
    </row>
    <row r="18">
      <c r="A18" s="49" t="inlineStr">
        <is>
          <t>Setterwalls</t>
        </is>
      </c>
      <c r="B18" s="49" t="inlineStr">
        <is>
          <t>+2% / ~+9% (passed SEK 1bn)</t>
        </is>
      </c>
      <c r="C18" s="49" t="inlineStr">
        <is>
          <t>2024 / 2025</t>
        </is>
      </c>
      <c r="D18" s="49" t="inlineStr">
        <is>
          <t>Organic</t>
        </is>
      </c>
      <c r="E18" s="49" t="inlineStr">
        <is>
          <t>Large complex mandates: public M&amp;A and PE take-privates (MedHelp, Integrum, Norva24), bank finance, disputes; lawyers +10% to 235 in 2024. Malmö office left for AGRD in Sep-26.</t>
        </is>
      </c>
      <c r="F18" s="49" t="inlineStr">
        <is>
          <t>https://www.realtid.se/affarer/154-miljarder-sa-klarade-affarsjuristerna-tullchocken/</t>
        </is>
      </c>
    </row>
    <row r="19">
      <c r="A19" s="49" t="inlineStr">
        <is>
          <t>Fylgia</t>
        </is>
      </c>
      <c r="B19" s="49" t="inlineStr">
        <is>
          <t>n/a (record 2025)</t>
        </is>
      </c>
      <c r="C19" s="49" t="inlineStr">
        <is>
          <t>2025</t>
        </is>
      </c>
      <c r="D19" s="49" t="inlineStr">
        <is>
          <t>Organic</t>
        </is>
      </c>
      <c r="E19" s="49" t="inlineStr">
        <is>
          <t>Transactions, construction/real estate, public procurement, restructuring/insolvency; four new partners appointed.</t>
        </is>
      </c>
      <c r="F19" s="49" t="inlineStr">
        <is>
          <t>https://www.fylgia.se/en/news/following-a-record-breaking-year-fylgia-appoints-four-new-partners</t>
        </is>
      </c>
    </row>
    <row r="20">
      <c r="A20" s="49" t="inlineStr">
        <is>
          <t>AGRD Partners (Axcel)</t>
        </is>
      </c>
      <c r="B20" s="49" t="inlineStr">
        <is>
          <t>n/a (~SEK 660m combined)</t>
        </is>
      </c>
      <c r="C20" s="49" t="inlineStr">
        <is>
          <t>2025</t>
        </is>
      </c>
      <c r="D20" s="49" t="inlineStr">
        <is>
          <t>M&amp;A</t>
        </is>
      </c>
      <c r="E20" s="49" t="inlineStr">
        <is>
          <t>PE-backed roll-up of six firms in Aug-25: Allié, Born, Morris Law, Next, Synch, TM &amp; Partners (~130 lawyers gave up advokat title). Added Setterwalls Malmö (Ascente Law) Sep-26.</t>
        </is>
      </c>
      <c r="F20" s="49" t="inlineStr">
        <is>
          <t>https://www.realtid.se/juridik/setterwalls-malmokontor-gar-till-riskkapitalagda-agrd/</t>
        </is>
      </c>
    </row>
    <row r="21">
      <c r="A21" s="49" t="inlineStr">
        <is>
          <t>DLA Piper (Sweden)</t>
        </is>
      </c>
      <c r="B21" s="49" t="inlineStr">
        <is>
          <t>-9%</t>
        </is>
      </c>
      <c r="C21" s="49" t="inlineStr">
        <is>
          <t>FY24/25</t>
        </is>
      </c>
      <c r="D21" s="49" t="inlineStr">
        <is>
          <t>Decline</t>
        </is>
      </c>
      <c r="E21" s="49" t="inlineStr">
        <is>
          <t>Consolidation year: generational shift and hesitant deal market; restructuring group busy (Northvolt, Oscar Properties, SAS).</t>
        </is>
      </c>
      <c r="F21" s="49" t="inlineStr">
        <is>
          <t>https://www.affarsvarlden.se/artikel/affarsjuristerna-gar-starkt-finns-fler-bolag-i-ipo-pipelinen</t>
        </is>
      </c>
    </row>
    <row r="23">
      <c r="A23" s="45" t="inlineStr">
        <is>
          <t>Market context: 2025 growth came from international transactions, disputes and regulatory work; IPOs were the weakest segment. Firms expect +6.8% in 2026 (Affärsvärlden/Realtid).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style="112" min="1" max="1"/>
    <col width="30" customWidth="1" style="112" min="2" max="2"/>
    <col width="10" customWidth="1" style="112" min="3" max="3"/>
    <col width="10" customWidth="1" style="112" min="4" max="4"/>
    <col width="10" customWidth="1" style="112" min="5" max="5"/>
    <col width="9" customWidth="1" style="112" min="6" max="6"/>
    <col width="36" customWidth="1" style="112" min="7" max="7"/>
    <col width="28" customWidth="1" style="112" min="8" max="8"/>
    <col width="9" customWidth="1" style="112" min="9" max="9"/>
    <col width="9" customWidth="1" style="112" min="10" max="10"/>
    <col width="28" customWidth="1" style="112" min="11" max="11"/>
    <col width="12" customWidth="1" style="112" min="12" max="12"/>
    <col width="11" customWidth="1" style="112" min="13" max="13"/>
  </cols>
  <sheetData>
    <row r="1">
      <c r="A1" s="1" t="inlineStr">
        <is>
          <t>A4. Swedish law firms ranked by Chambers or Legal 500: full-service, independents, PE-owned and firms to watch</t>
        </is>
      </c>
    </row>
    <row r="2" ht="60" customHeight="1" s="112">
      <c r="A2" s="2" t="inlineStr">
        <is>
          <t>Universe: firm-level rankings in Chambers Europe 2026 (Sweden) and Legal 500 EMEA (Sweden), incl. Legal 500 "firms to watch". Excludes international firms (listed at the bottom). Counts: 9 full-service Swedish firms; 45 ranked independents (incl. PE-owned AGRD firms) + 2 firms to watch only = 47; +5 borderline mid-size firms = 52 niche/independent firms. Partner/lawyer counts: firm website counts (Oct-26) where available, else firm-supplied to Legal 500 / Chambers (2026); blank where not found.</t>
        </is>
      </c>
    </row>
    <row r="4">
      <c r="A4" s="52" t="inlineStr">
        <is>
          <t>Firm</t>
        </is>
      </c>
      <c r="B4" s="52" t="inlineStr">
        <is>
          <t>Category</t>
        </is>
      </c>
      <c r="C4" s="52" t="inlineStr">
        <is>
          <t># Chambers rankings</t>
        </is>
      </c>
      <c r="D4" s="52" t="inlineStr">
        <is>
          <t># Legal 500 rankings</t>
        </is>
      </c>
      <c r="E4" s="52" t="inlineStr">
        <is>
          <t># L500 firm-to-watch</t>
        </is>
      </c>
      <c r="F4" s="52" t="inlineStr">
        <is>
          <t>Best band/tier</t>
        </is>
      </c>
      <c r="G4" s="52" t="inlineStr">
        <is>
          <t>Practice area(s) at best band/tier</t>
        </is>
      </c>
      <c r="H4" s="52" t="inlineStr">
        <is>
          <t>Firm-to-watch areas</t>
        </is>
      </c>
      <c r="I4" s="52" t="inlineStr">
        <is>
          <t>Partners</t>
        </is>
      </c>
      <c r="J4" s="52" t="inlineStr">
        <is>
          <t>Lawyers</t>
        </is>
      </c>
      <c r="K4" s="52" t="inlineStr">
        <is>
          <t>Headcount source</t>
        </is>
      </c>
      <c r="L4" s="52" t="inlineStr">
        <is>
          <t>Afv fee income FY2024 (SEK m)</t>
        </is>
      </c>
      <c r="M4" s="52" t="inlineStr">
        <is>
          <t>Revenue / partner (SEK m)</t>
        </is>
      </c>
    </row>
    <row r="5">
      <c r="A5" s="113" t="inlineStr">
        <is>
          <t>Vinge</t>
        </is>
      </c>
      <c r="B5" s="105" t="inlineStr">
        <is>
          <t>Full-service Swedish firm</t>
        </is>
      </c>
      <c r="C5" s="113" t="n">
        <v>19</v>
      </c>
      <c r="D5" s="113" t="n">
        <v>21</v>
      </c>
      <c r="E5" s="113" t="n">
        <v>0</v>
      </c>
      <c r="F5" s="113" t="n">
        <v>1</v>
      </c>
      <c r="G5" s="105" t="inlineStr">
        <is>
          <t>Banking &amp; finance; Capital markets: debt; Capital markets: equity; Competition / EU; Corporate / M&amp;A; Dispute resolution; Employment; Energy; Fintech; Healthcare / life sciences; IP; IT / TMT; Insurance; PE fund formation; Private equity; Public procurement; Restructuring / insolvency; Shipping; Tax</t>
        </is>
      </c>
      <c r="H5" s="105" t="n"/>
      <c r="I5" s="113" t="n">
        <v>71</v>
      </c>
      <c r="J5" s="113" t="n">
        <v>389</v>
      </c>
      <c r="K5" s="105" t="inlineStr">
        <is>
          <t>Firm website, Oct-26</t>
        </is>
      </c>
      <c r="L5" s="113" t="n">
        <v>2085</v>
      </c>
      <c r="M5" s="113" t="n">
        <v>29.4</v>
      </c>
    </row>
    <row r="6">
      <c r="A6" s="113" t="inlineStr">
        <is>
          <t>Mannheimer Swartling</t>
        </is>
      </c>
      <c r="B6" s="105" t="inlineStr">
        <is>
          <t>Full-service Swedish firm</t>
        </is>
      </c>
      <c r="C6" s="113" t="n">
        <v>19</v>
      </c>
      <c r="D6" s="113" t="n">
        <v>21</v>
      </c>
      <c r="E6" s="113" t="n">
        <v>0</v>
      </c>
      <c r="F6" s="113" t="n">
        <v>1</v>
      </c>
      <c r="G6" s="105" t="inlineStr">
        <is>
          <t>Banking &amp; finance; Capital markets: debt; Capital markets: equity; Competition / EU; Construction; Corporate / M&amp;A; Corporate investigations; Data protection; Dispute resolution; Employment; Energy; Environment; Fintech; Healthcare / life sciences; IT / TMT; Insurance; PE fund formation; Private equity; Real estate; Restructuring / insolvency; Shipping; Tax</t>
        </is>
      </c>
      <c r="H6" s="105" t="n"/>
      <c r="I6" s="113" t="n">
        <v>92</v>
      </c>
      <c r="J6" s="113" t="n">
        <v>430</v>
      </c>
      <c r="K6" s="105" t="inlineStr">
        <is>
          <t>DJ / Chambers 2026</t>
        </is>
      </c>
      <c r="L6" s="113" t="n">
        <v>1911</v>
      </c>
      <c r="M6" s="113" t="n">
        <v>20.8</v>
      </c>
    </row>
    <row r="7">
      <c r="A7" s="113" t="inlineStr">
        <is>
          <t>Setterwalls</t>
        </is>
      </c>
      <c r="B7" s="105" t="inlineStr">
        <is>
          <t>Full-service Swedish firm</t>
        </is>
      </c>
      <c r="C7" s="113" t="n">
        <v>15</v>
      </c>
      <c r="D7" s="113" t="n">
        <v>21</v>
      </c>
      <c r="E7" s="113" t="n">
        <v>0</v>
      </c>
      <c r="F7" s="113" t="n">
        <v>1</v>
      </c>
      <c r="G7" s="105" t="inlineStr">
        <is>
          <t>Banking &amp; finance; Data protection; Employment; Energy; Environment; Fintech; Healthcare / life sciences; IP; IT / TMT; Insurance; Real estate; Shipping</t>
        </is>
      </c>
      <c r="H7" s="105" t="n"/>
      <c r="I7" s="113" t="n">
        <v>38</v>
      </c>
      <c r="J7" s="113" t="n">
        <v>177</v>
      </c>
      <c r="K7" s="105" t="inlineStr">
        <is>
          <t>Firm website, Oct-26</t>
        </is>
      </c>
      <c r="L7" s="113" t="n">
        <v>918</v>
      </c>
      <c r="M7" s="113" t="n">
        <v>24.2</v>
      </c>
    </row>
    <row r="8">
      <c r="A8" s="113" t="inlineStr">
        <is>
          <t>Lindahl</t>
        </is>
      </c>
      <c r="B8" s="105" t="inlineStr">
        <is>
          <t>Full-service Swedish firm</t>
        </is>
      </c>
      <c r="C8" s="113" t="n">
        <v>12</v>
      </c>
      <c r="D8" s="113" t="n">
        <v>17</v>
      </c>
      <c r="E8" s="113" t="n">
        <v>0</v>
      </c>
      <c r="F8" s="113" t="n">
        <v>1</v>
      </c>
      <c r="G8" s="105" t="inlineStr">
        <is>
          <t>Real estate</t>
        </is>
      </c>
      <c r="H8" s="105" t="n"/>
      <c r="I8" s="113" t="n">
        <v>68</v>
      </c>
      <c r="J8" s="113" t="n">
        <v>220</v>
      </c>
      <c r="K8" s="105" t="inlineStr">
        <is>
          <t>Legal 500</t>
        </is>
      </c>
      <c r="L8" s="113" t="n">
        <v>737</v>
      </c>
      <c r="M8" s="113" t="n">
        <v>10.8</v>
      </c>
    </row>
    <row r="9">
      <c r="A9" s="113" t="inlineStr">
        <is>
          <t>Gernandt &amp; Danielsson</t>
        </is>
      </c>
      <c r="B9" s="105" t="inlineStr">
        <is>
          <t>Full-service Swedish firm</t>
        </is>
      </c>
      <c r="C9" s="113" t="n">
        <v>8</v>
      </c>
      <c r="D9" s="113" t="n">
        <v>11</v>
      </c>
      <c r="E9" s="113" t="n">
        <v>0</v>
      </c>
      <c r="F9" s="113" t="n">
        <v>1</v>
      </c>
      <c r="G9" s="105" t="inlineStr">
        <is>
          <t>Banking &amp; finance; Capital markets: debt; Capital markets: equity; Corporate / M&amp;A; Restructuring / insolvency</t>
        </is>
      </c>
      <c r="H9" s="105" t="n"/>
      <c r="I9" s="113" t="n">
        <v>20</v>
      </c>
      <c r="J9" s="113" t="n">
        <v>91</v>
      </c>
      <c r="K9" s="105" t="inlineStr">
        <is>
          <t>Firm website, Oct-26</t>
        </is>
      </c>
      <c r="L9" s="113" t="n">
        <v>676</v>
      </c>
      <c r="M9" s="113" t="n">
        <v>33.8</v>
      </c>
    </row>
    <row r="10">
      <c r="A10" s="113" t="inlineStr">
        <is>
          <t>Delphi</t>
        </is>
      </c>
      <c r="B10" s="105" t="inlineStr">
        <is>
          <t>Full-service Swedish firm</t>
        </is>
      </c>
      <c r="C10" s="113" t="n">
        <v>8</v>
      </c>
      <c r="D10" s="113" t="n">
        <v>15</v>
      </c>
      <c r="E10" s="113" t="n">
        <v>0</v>
      </c>
      <c r="F10" s="113" t="n">
        <v>1</v>
      </c>
      <c r="G10" s="105" t="inlineStr">
        <is>
          <t>Data protection; IT / TMT</t>
        </is>
      </c>
      <c r="H10" s="105" t="n"/>
      <c r="I10" s="113" t="n">
        <v>49</v>
      </c>
      <c r="J10" s="113" t="n">
        <v>150</v>
      </c>
      <c r="K10" s="105" t="inlineStr">
        <is>
          <t>Chambers 2026</t>
        </is>
      </c>
      <c r="L10" s="113" t="n">
        <v>516</v>
      </c>
      <c r="M10" s="113" t="n">
        <v>10.5</v>
      </c>
    </row>
    <row r="11">
      <c r="A11" s="113" t="inlineStr">
        <is>
          <t>Cederquist</t>
        </is>
      </c>
      <c r="B11" s="105" t="inlineStr">
        <is>
          <t>Full-service Swedish firm</t>
        </is>
      </c>
      <c r="C11" s="113" t="n">
        <v>11</v>
      </c>
      <c r="D11" s="113" t="n">
        <v>17</v>
      </c>
      <c r="E11" s="113" t="n">
        <v>0</v>
      </c>
      <c r="F11" s="113" t="n">
        <v>1</v>
      </c>
      <c r="G11" s="105" t="inlineStr">
        <is>
          <t>Capital markets: debt; Data protection</t>
        </is>
      </c>
      <c r="H11" s="105" t="n"/>
      <c r="I11" s="113" t="n">
        <v>26</v>
      </c>
      <c r="J11" s="113" t="n">
        <v>124</v>
      </c>
      <c r="K11" s="105" t="inlineStr">
        <is>
          <t>Legal 500</t>
        </is>
      </c>
      <c r="L11" s="113" t="n">
        <v>500</v>
      </c>
      <c r="M11" s="113" t="n">
        <v>19.2</v>
      </c>
    </row>
    <row r="12">
      <c r="A12" s="113" t="inlineStr">
        <is>
          <t>MAQS</t>
        </is>
      </c>
      <c r="B12" s="105" t="inlineStr">
        <is>
          <t>Full-service Swedish firm</t>
        </is>
      </c>
      <c r="C12" s="113" t="n">
        <v>1</v>
      </c>
      <c r="D12" s="113" t="n">
        <v>11</v>
      </c>
      <c r="E12" s="113" t="n">
        <v>0</v>
      </c>
      <c r="F12" s="113" t="n">
        <v>2</v>
      </c>
      <c r="G12" s="105" t="inlineStr">
        <is>
          <t>Construction; Energy</t>
        </is>
      </c>
      <c r="H12" s="105" t="n"/>
      <c r="I12" s="113" t="n">
        <v>48</v>
      </c>
      <c r="J12" s="113" t="n">
        <v>144</v>
      </c>
      <c r="K12" s="105" t="inlineStr">
        <is>
          <t>Firm website, Oct-26</t>
        </is>
      </c>
      <c r="L12" s="113" t="n">
        <v>417</v>
      </c>
      <c r="M12" s="113" t="n">
        <v>8.699999999999999</v>
      </c>
    </row>
    <row r="13">
      <c r="A13" s="113" t="inlineStr">
        <is>
          <t>Cirio</t>
        </is>
      </c>
      <c r="B13" s="105" t="inlineStr">
        <is>
          <t>Full-service Swedish firm</t>
        </is>
      </c>
      <c r="C13" s="113" t="n">
        <v>10</v>
      </c>
      <c r="D13" s="113" t="n">
        <v>15</v>
      </c>
      <c r="E13" s="113" t="n">
        <v>1</v>
      </c>
      <c r="F13" s="113" t="n">
        <v>1</v>
      </c>
      <c r="G13" s="105" t="inlineStr">
        <is>
          <t>Data protection; Energy; Healthcare / life sciences; Insolvency trustees; Real estate; Restructuring / insolvency</t>
        </is>
      </c>
      <c r="H13" s="105" t="inlineStr">
        <is>
          <t>Employment</t>
        </is>
      </c>
      <c r="I13" s="113" t="n">
        <v>27</v>
      </c>
      <c r="J13" s="113" t="n">
        <v>76</v>
      </c>
      <c r="K13" s="105" t="inlineStr">
        <is>
          <t>Legal 500</t>
        </is>
      </c>
      <c r="L13" s="113" t="n">
        <v>363</v>
      </c>
      <c r="M13" s="113" t="n">
        <v>13.4</v>
      </c>
    </row>
    <row r="14">
      <c r="A14" s="114" t="inlineStr">
        <is>
          <t>AG Advokat</t>
        </is>
      </c>
      <c r="B14" s="49" t="inlineStr">
        <is>
          <t>Ranked independent</t>
        </is>
      </c>
      <c r="C14" s="114" t="n">
        <v>1</v>
      </c>
      <c r="D14" s="114" t="n">
        <v>3</v>
      </c>
      <c r="E14" s="114" t="n">
        <v>0</v>
      </c>
      <c r="F14" s="114" t="n">
        <v>1</v>
      </c>
      <c r="G14" s="49" t="inlineStr">
        <is>
          <t>Real estate</t>
        </is>
      </c>
      <c r="H14" s="49" t="n"/>
      <c r="I14" s="114" t="n"/>
      <c r="J14" s="114" t="n">
        <v>41</v>
      </c>
      <c r="K14" s="49" t="inlineStr">
        <is>
          <t>L500</t>
        </is>
      </c>
      <c r="L14" s="114" t="n">
        <v>198</v>
      </c>
      <c r="M14" s="114" t="n"/>
    </row>
    <row r="15">
      <c r="A15" s="114" t="inlineStr">
        <is>
          <t>Gulliksson</t>
        </is>
      </c>
      <c r="B15" s="49" t="inlineStr">
        <is>
          <t>Ranked independent</t>
        </is>
      </c>
      <c r="C15" s="114" t="n">
        <v>1</v>
      </c>
      <c r="D15" s="114" t="n">
        <v>1</v>
      </c>
      <c r="E15" s="114" t="n">
        <v>0</v>
      </c>
      <c r="F15" s="114" t="n">
        <v>2</v>
      </c>
      <c r="G15" s="49" t="inlineStr">
        <is>
          <t>IP</t>
        </is>
      </c>
      <c r="H15" s="49" t="n"/>
      <c r="I15" s="114" t="n"/>
      <c r="J15" s="114" t="n">
        <v>41</v>
      </c>
      <c r="K15" s="49" t="inlineStr">
        <is>
          <t>L500</t>
        </is>
      </c>
      <c r="L15" s="114" t="n">
        <v>141</v>
      </c>
      <c r="M15" s="114" t="n"/>
    </row>
    <row r="16">
      <c r="A16" s="114" t="inlineStr">
        <is>
          <t>Nordia Law</t>
        </is>
      </c>
      <c r="B16" s="49" t="inlineStr">
        <is>
          <t>Ranked independent</t>
        </is>
      </c>
      <c r="C16" s="114" t="n">
        <v>1</v>
      </c>
      <c r="D16" s="114" t="n">
        <v>4</v>
      </c>
      <c r="E16" s="114" t="n">
        <v>0</v>
      </c>
      <c r="F16" s="114" t="n">
        <v>2</v>
      </c>
      <c r="G16" s="49" t="inlineStr">
        <is>
          <t>Insurance</t>
        </is>
      </c>
      <c r="H16" s="49" t="n"/>
      <c r="I16" s="114" t="n"/>
      <c r="J16" s="114" t="n"/>
      <c r="K16" s="49" t="n"/>
      <c r="L16" s="114" t="n">
        <v>126</v>
      </c>
      <c r="M16" s="114" t="n"/>
    </row>
    <row r="17">
      <c r="A17" s="114" t="inlineStr">
        <is>
          <t>Andulf</t>
        </is>
      </c>
      <c r="B17" s="49" t="inlineStr">
        <is>
          <t>Ranked independent</t>
        </is>
      </c>
      <c r="C17" s="114" t="n">
        <v>1</v>
      </c>
      <c r="D17" s="114" t="n">
        <v>0</v>
      </c>
      <c r="E17" s="114" t="n">
        <v>0</v>
      </c>
      <c r="F17" s="114" t="n">
        <v>1</v>
      </c>
      <c r="G17" s="49" t="inlineStr">
        <is>
          <t>PE fund formation</t>
        </is>
      </c>
      <c r="H17" s="49" t="n"/>
      <c r="I17" s="114" t="n"/>
      <c r="J17" s="114" t="n"/>
      <c r="K17" s="49" t="n"/>
      <c r="L17" s="114" t="n">
        <v>103</v>
      </c>
      <c r="M17" s="114" t="n"/>
    </row>
    <row r="18">
      <c r="A18" s="114" t="inlineStr">
        <is>
          <t>Norma</t>
        </is>
      </c>
      <c r="B18" s="49" t="inlineStr">
        <is>
          <t>Ranked independent</t>
        </is>
      </c>
      <c r="C18" s="114" t="n">
        <v>0</v>
      </c>
      <c r="D18" s="114" t="n">
        <v>2</v>
      </c>
      <c r="E18" s="114" t="n">
        <v>0</v>
      </c>
      <c r="F18" s="114" t="n">
        <v>4</v>
      </c>
      <c r="G18" s="49" t="inlineStr">
        <is>
          <t>Real estate</t>
        </is>
      </c>
      <c r="H18" s="49" t="n"/>
      <c r="I18" s="114" t="n"/>
      <c r="J18" s="114" t="n"/>
      <c r="K18" s="49" t="n"/>
      <c r="L18" s="114" t="n">
        <v>72</v>
      </c>
      <c r="M18" s="114" t="n"/>
    </row>
    <row r="19">
      <c r="A19" s="114" t="inlineStr">
        <is>
          <t>Kastell</t>
        </is>
      </c>
      <c r="B19" s="49" t="inlineStr">
        <is>
          <t>Ranked independent</t>
        </is>
      </c>
      <c r="C19" s="114" t="n">
        <v>3</v>
      </c>
      <c r="D19" s="114" t="n">
        <v>3</v>
      </c>
      <c r="E19" s="114" t="n">
        <v>0</v>
      </c>
      <c r="F19" s="114" t="n">
        <v>2</v>
      </c>
      <c r="G19" s="49" t="inlineStr">
        <is>
          <t>Competition / EU; Public procurement</t>
        </is>
      </c>
      <c r="H19" s="49" t="n"/>
      <c r="I19" s="114" t="n">
        <v>9</v>
      </c>
      <c r="J19" s="114" t="n">
        <v>18</v>
      </c>
      <c r="K19" s="49" t="inlineStr">
        <is>
          <t>Firm website, Oct-26</t>
        </is>
      </c>
      <c r="L19" s="114" t="n">
        <v>70</v>
      </c>
      <c r="M19" s="114" t="n">
        <v>7.8</v>
      </c>
    </row>
    <row r="20">
      <c r="A20" s="114" t="inlineStr">
        <is>
          <t>Harvest</t>
        </is>
      </c>
      <c r="B20" s="49" t="inlineStr">
        <is>
          <t>Ranked independent</t>
        </is>
      </c>
      <c r="C20" s="114" t="n">
        <v>0</v>
      </c>
      <c r="D20" s="114" t="n">
        <v>2</v>
      </c>
      <c r="E20" s="114" t="n">
        <v>0</v>
      </c>
      <c r="F20" s="114" t="n">
        <v>3</v>
      </c>
      <c r="G20" s="49" t="inlineStr">
        <is>
          <t>Banking &amp; finance; Fintech</t>
        </is>
      </c>
      <c r="H20" s="49" t="n"/>
      <c r="I20" s="114" t="n">
        <v>5</v>
      </c>
      <c r="J20" s="114" t="n">
        <v>27</v>
      </c>
      <c r="K20" s="49" t="inlineStr">
        <is>
          <t>Firm website, Oct-26</t>
        </is>
      </c>
      <c r="L20" s="114" t="n">
        <v>68</v>
      </c>
      <c r="M20" s="114" t="n">
        <v>13.6</v>
      </c>
    </row>
    <row r="21">
      <c r="A21" s="114" t="inlineStr">
        <is>
          <t>Advokatfirman Åberg &amp; Co AB</t>
        </is>
      </c>
      <c r="B21" s="49" t="inlineStr">
        <is>
          <t>Ranked independent</t>
        </is>
      </c>
      <c r="C21" s="114" t="n">
        <v>1</v>
      </c>
      <c r="D21" s="114" t="n">
        <v>0</v>
      </c>
      <c r="E21" s="114" t="n">
        <v>0</v>
      </c>
      <c r="F21" s="114" t="n">
        <v>3</v>
      </c>
      <c r="G21" s="49" t="inlineStr">
        <is>
          <t>Environment</t>
        </is>
      </c>
      <c r="H21" s="49" t="n"/>
      <c r="I21" s="114" t="n"/>
      <c r="J21" s="114" t="n"/>
      <c r="K21" s="49" t="n"/>
      <c r="L21" s="114" t="n">
        <v>47</v>
      </c>
      <c r="M21" s="114" t="n"/>
    </row>
    <row r="22">
      <c r="A22" s="114" t="inlineStr">
        <is>
          <t>Advokatfirman MarLaw AB</t>
        </is>
      </c>
      <c r="B22" s="49" t="inlineStr">
        <is>
          <t>Ranked independent</t>
        </is>
      </c>
      <c r="C22" s="114" t="n">
        <v>0</v>
      </c>
      <c r="D22" s="114" t="n">
        <v>1</v>
      </c>
      <c r="E22" s="114" t="n">
        <v>0</v>
      </c>
      <c r="F22" s="114" t="n">
        <v>4</v>
      </c>
      <c r="G22" s="49" t="inlineStr">
        <is>
          <t>IP</t>
        </is>
      </c>
      <c r="H22" s="49" t="n"/>
      <c r="I22" s="114" t="n"/>
      <c r="J22" s="114" t="n"/>
      <c r="K22" s="49" t="n"/>
      <c r="L22" s="114" t="n">
        <v>34</v>
      </c>
      <c r="M22" s="114" t="n"/>
    </row>
    <row r="23">
      <c r="A23" s="114" t="inlineStr">
        <is>
          <t>Kompass</t>
        </is>
      </c>
      <c r="B23" s="49" t="inlineStr">
        <is>
          <t>Ranked independent</t>
        </is>
      </c>
      <c r="C23" s="114" t="n">
        <v>2</v>
      </c>
      <c r="D23" s="114" t="n">
        <v>1</v>
      </c>
      <c r="E23" s="114" t="n">
        <v>0</v>
      </c>
      <c r="F23" s="114" t="n">
        <v>3</v>
      </c>
      <c r="G23" s="49" t="inlineStr">
        <is>
          <t>Insurance</t>
        </is>
      </c>
      <c r="H23" s="49" t="n"/>
      <c r="I23" s="114" t="n">
        <v>4</v>
      </c>
      <c r="J23" s="114" t="n">
        <v>15</v>
      </c>
      <c r="K23" s="49" t="inlineStr">
        <is>
          <t>L500</t>
        </is>
      </c>
      <c r="L23" s="114" t="n">
        <v>27</v>
      </c>
      <c r="M23" s="114" t="n">
        <v>6.8</v>
      </c>
    </row>
    <row r="24">
      <c r="A24" s="114" t="inlineStr">
        <is>
          <t>Hellström</t>
        </is>
      </c>
      <c r="B24" s="49" t="inlineStr">
        <is>
          <t>Ranked independent</t>
        </is>
      </c>
      <c r="C24" s="114" t="n">
        <v>1</v>
      </c>
      <c r="D24" s="114" t="n">
        <v>7</v>
      </c>
      <c r="E24" s="114" t="n">
        <v>0</v>
      </c>
      <c r="F24" s="114" t="n">
        <v>2</v>
      </c>
      <c r="G24" s="49" t="inlineStr">
        <is>
          <t>Data protection</t>
        </is>
      </c>
      <c r="H24" s="49" t="n"/>
      <c r="I24" s="114" t="n">
        <v>22</v>
      </c>
      <c r="J24" s="114" t="n">
        <v>49</v>
      </c>
      <c r="K24" s="49" t="inlineStr">
        <is>
          <t>L500 (22 partners, 10 senior assoc., 17 assoc.)</t>
        </is>
      </c>
      <c r="L24" s="114" t="n"/>
      <c r="M24" s="114" t="n"/>
    </row>
    <row r="25">
      <c r="A25" s="114" t="inlineStr">
        <is>
          <t>TIME DANOWSKY Advokatbyrå AB</t>
        </is>
      </c>
      <c r="B25" s="49" t="inlineStr">
        <is>
          <t>Ranked independent</t>
        </is>
      </c>
      <c r="C25" s="114" t="n">
        <v>3</v>
      </c>
      <c r="D25" s="114" t="n">
        <v>4</v>
      </c>
      <c r="E25" s="114" t="n">
        <v>0</v>
      </c>
      <c r="F25" s="114" t="n">
        <v>2</v>
      </c>
      <c r="G25" s="49" t="inlineStr">
        <is>
          <t>Data protection; IT / TMT</t>
        </is>
      </c>
      <c r="H25" s="49" t="n"/>
      <c r="I25" s="114" t="n"/>
      <c r="J25" s="114" t="n">
        <v>22</v>
      </c>
      <c r="K25" s="49" t="inlineStr">
        <is>
          <t>L500</t>
        </is>
      </c>
      <c r="L25" s="114" t="n"/>
      <c r="M25" s="114" t="n"/>
    </row>
    <row r="26">
      <c r="A26" s="114" t="inlineStr">
        <is>
          <t>Westerberg &amp; Partners</t>
        </is>
      </c>
      <c r="B26" s="49" t="inlineStr">
        <is>
          <t>Ranked independent</t>
        </is>
      </c>
      <c r="C26" s="114" t="n">
        <v>2</v>
      </c>
      <c r="D26" s="114" t="n">
        <v>4</v>
      </c>
      <c r="E26" s="114" t="n">
        <v>0</v>
      </c>
      <c r="F26" s="114" t="n">
        <v>1</v>
      </c>
      <c r="G26" s="49" t="inlineStr">
        <is>
          <t>IP; Insurance</t>
        </is>
      </c>
      <c r="H26" s="49" t="n"/>
      <c r="I26" s="114" t="n">
        <v>12</v>
      </c>
      <c r="J26" s="114" t="n">
        <v>24</v>
      </c>
      <c r="K26" s="49" t="inlineStr">
        <is>
          <t>Firm website, Oct-26</t>
        </is>
      </c>
      <c r="L26" s="114" t="n"/>
      <c r="M26" s="114" t="n"/>
    </row>
    <row r="27">
      <c r="A27" s="114" t="inlineStr">
        <is>
          <t>Kahn Pedersen</t>
        </is>
      </c>
      <c r="B27" s="49" t="inlineStr">
        <is>
          <t>Ranked independent</t>
        </is>
      </c>
      <c r="C27" s="114" t="n">
        <v>2</v>
      </c>
      <c r="D27" s="114" t="n">
        <v>3</v>
      </c>
      <c r="E27" s="114" t="n">
        <v>0</v>
      </c>
      <c r="F27" s="114" t="n">
        <v>1</v>
      </c>
      <c r="G27" s="49" t="inlineStr">
        <is>
          <t>Data protection; IT / TMT; Public procurement</t>
        </is>
      </c>
      <c r="H27" s="49" t="n"/>
      <c r="I27" s="114" t="n">
        <v>6</v>
      </c>
      <c r="J27" s="114" t="n">
        <v>19</v>
      </c>
      <c r="K27" s="49" t="inlineStr">
        <is>
          <t>L500/Chambers</t>
        </is>
      </c>
      <c r="L27" s="114" t="n"/>
      <c r="M27" s="114" t="n"/>
    </row>
    <row r="28">
      <c r="A28" s="114" t="inlineStr">
        <is>
          <t>Bokwall Rislund</t>
        </is>
      </c>
      <c r="B28" s="49" t="inlineStr">
        <is>
          <t>Ranked independent</t>
        </is>
      </c>
      <c r="C28" s="114" t="n">
        <v>2</v>
      </c>
      <c r="D28" s="114" t="n">
        <v>2</v>
      </c>
      <c r="E28" s="114" t="n">
        <v>0</v>
      </c>
      <c r="F28" s="114" t="n">
        <v>1</v>
      </c>
      <c r="G28" s="49" t="inlineStr">
        <is>
          <t>Competition / EU; Public procurement</t>
        </is>
      </c>
      <c r="H28" s="49" t="n"/>
      <c r="I28" s="114" t="n"/>
      <c r="J28" s="114" t="n"/>
      <c r="K28" s="49" t="n"/>
      <c r="L28" s="114" t="n"/>
      <c r="M28" s="114" t="n"/>
    </row>
    <row r="29">
      <c r="A29" s="114" t="inlineStr">
        <is>
          <t>Sandart &amp; Partners</t>
        </is>
      </c>
      <c r="B29" s="49" t="inlineStr">
        <is>
          <t>Ranked independent</t>
        </is>
      </c>
      <c r="C29" s="114" t="n">
        <v>2</v>
      </c>
      <c r="D29" s="114" t="n">
        <v>2</v>
      </c>
      <c r="E29" s="114" t="n">
        <v>0</v>
      </c>
      <c r="F29" s="114" t="n">
        <v>1</v>
      </c>
      <c r="G29" s="49" t="inlineStr">
        <is>
          <t>IP</t>
        </is>
      </c>
      <c r="H29" s="49" t="n"/>
      <c r="I29" s="114" t="n">
        <v>10</v>
      </c>
      <c r="J29" s="114" t="n">
        <v>12</v>
      </c>
      <c r="K29" s="49" t="inlineStr">
        <is>
          <t>L500</t>
        </is>
      </c>
      <c r="L29" s="114" t="n"/>
      <c r="M29" s="114" t="n"/>
    </row>
    <row r="30">
      <c r="A30" s="114" t="inlineStr">
        <is>
          <t>Brick</t>
        </is>
      </c>
      <c r="B30" s="49" t="inlineStr">
        <is>
          <t>Ranked independent</t>
        </is>
      </c>
      <c r="C30" s="114" t="n">
        <v>1</v>
      </c>
      <c r="D30" s="114" t="n">
        <v>2</v>
      </c>
      <c r="E30" s="114" t="n">
        <v>0</v>
      </c>
      <c r="F30" s="114" t="n">
        <v>2</v>
      </c>
      <c r="G30" s="49" t="inlineStr">
        <is>
          <t>Real estate</t>
        </is>
      </c>
      <c r="H30" s="49" t="n"/>
      <c r="I30" s="114" t="n"/>
      <c r="J30" s="114" t="n"/>
      <c r="K30" s="49" t="n"/>
      <c r="L30" s="114" t="n"/>
      <c r="M30" s="114" t="n"/>
    </row>
    <row r="31">
      <c r="A31" s="114" t="inlineStr">
        <is>
          <t>A1 Advokater</t>
        </is>
      </c>
      <c r="B31" s="49" t="inlineStr">
        <is>
          <t>Ranked independent</t>
        </is>
      </c>
      <c r="C31" s="114" t="n">
        <v>1</v>
      </c>
      <c r="D31" s="114" t="n">
        <v>1</v>
      </c>
      <c r="E31" s="114" t="n">
        <v>0</v>
      </c>
      <c r="F31" s="114" t="n">
        <v>4</v>
      </c>
      <c r="G31" s="49" t="inlineStr">
        <is>
          <t>Dispute resolution</t>
        </is>
      </c>
      <c r="H31" s="49" t="n"/>
      <c r="I31" s="114" t="n"/>
      <c r="J31" s="114" t="n"/>
      <c r="K31" s="49" t="inlineStr">
        <is>
          <t>Chambers: 17 staff</t>
        </is>
      </c>
      <c r="L31" s="114" t="n"/>
      <c r="M31" s="114" t="n"/>
    </row>
    <row r="32">
      <c r="A32" s="114" t="inlineStr">
        <is>
          <t>Elmzell</t>
        </is>
      </c>
      <c r="B32" s="49" t="inlineStr">
        <is>
          <t>Ranked independent</t>
        </is>
      </c>
      <c r="C32" s="114" t="n">
        <v>1</v>
      </c>
      <c r="D32" s="114" t="n">
        <v>1</v>
      </c>
      <c r="E32" s="114" t="n">
        <v>0</v>
      </c>
      <c r="F32" s="114" t="n">
        <v>2</v>
      </c>
      <c r="G32" s="49" t="inlineStr">
        <is>
          <t>Employment</t>
        </is>
      </c>
      <c r="H32" s="49" t="n"/>
      <c r="I32" s="114" t="n"/>
      <c r="J32" s="114" t="n"/>
      <c r="K32" s="49" t="n"/>
      <c r="L32" s="114" t="n"/>
      <c r="M32" s="114" t="n"/>
    </row>
    <row r="33">
      <c r="A33" s="114" t="inlineStr">
        <is>
          <t>Fröberg &amp; Lundholm</t>
        </is>
      </c>
      <c r="B33" s="49" t="inlineStr">
        <is>
          <t>Ranked independent</t>
        </is>
      </c>
      <c r="C33" s="114" t="n">
        <v>1</v>
      </c>
      <c r="D33" s="114" t="n">
        <v>1</v>
      </c>
      <c r="E33" s="114" t="n">
        <v>0</v>
      </c>
      <c r="F33" s="114" t="n">
        <v>1</v>
      </c>
      <c r="G33" s="49" t="inlineStr">
        <is>
          <t>Environment</t>
        </is>
      </c>
      <c r="H33" s="49" t="n"/>
      <c r="I33" s="114" t="n"/>
      <c r="J33" s="114" t="n"/>
      <c r="K33" s="49" t="n"/>
      <c r="L33" s="114" t="n"/>
      <c r="M33" s="114" t="n"/>
    </row>
    <row r="34">
      <c r="A34" s="114" t="inlineStr">
        <is>
          <t>Norburg &amp; Scherp</t>
        </is>
      </c>
      <c r="B34" s="49" t="inlineStr">
        <is>
          <t>Ranked independent</t>
        </is>
      </c>
      <c r="C34" s="114" t="n">
        <v>1</v>
      </c>
      <c r="D34" s="114" t="n">
        <v>1</v>
      </c>
      <c r="E34" s="114" t="n">
        <v>0</v>
      </c>
      <c r="F34" s="114" t="n">
        <v>3</v>
      </c>
      <c r="G34" s="49" t="inlineStr">
        <is>
          <t>Dispute resolution</t>
        </is>
      </c>
      <c r="H34" s="49" t="n"/>
      <c r="I34" s="114" t="n"/>
      <c r="J34" s="114" t="n">
        <v>18</v>
      </c>
      <c r="K34" s="49" t="inlineStr">
        <is>
          <t>L500</t>
        </is>
      </c>
      <c r="L34" s="114" t="n"/>
      <c r="M34" s="114" t="n"/>
    </row>
    <row r="35">
      <c r="A35" s="114" t="inlineStr">
        <is>
          <t>RE:FI STHLM</t>
        </is>
      </c>
      <c r="B35" s="49" t="inlineStr">
        <is>
          <t>Ranked independent</t>
        </is>
      </c>
      <c r="C35" s="114" t="n">
        <v>1</v>
      </c>
      <c r="D35" s="114" t="n">
        <v>1</v>
      </c>
      <c r="E35" s="114" t="n">
        <v>0</v>
      </c>
      <c r="F35" s="114" t="n">
        <v>3</v>
      </c>
      <c r="G35" s="49" t="inlineStr">
        <is>
          <t>Banking &amp; finance</t>
        </is>
      </c>
      <c r="H35" s="49" t="n"/>
      <c r="I35" s="114" t="n"/>
      <c r="J35" s="114" t="n"/>
      <c r="K35" s="49" t="n"/>
      <c r="L35" s="114" t="n"/>
      <c r="M35" s="114" t="n"/>
    </row>
    <row r="36">
      <c r="A36" s="114" t="inlineStr">
        <is>
          <t>REAL Advokatbyrå</t>
        </is>
      </c>
      <c r="B36" s="49" t="inlineStr">
        <is>
          <t>Ranked independent</t>
        </is>
      </c>
      <c r="C36" s="114" t="n">
        <v>1</v>
      </c>
      <c r="D36" s="114" t="n">
        <v>1</v>
      </c>
      <c r="E36" s="114" t="n">
        <v>0</v>
      </c>
      <c r="F36" s="114" t="n">
        <v>2</v>
      </c>
      <c r="G36" s="49" t="inlineStr">
        <is>
          <t>Real estate</t>
        </is>
      </c>
      <c r="H36" s="49" t="n"/>
      <c r="I36" s="114" t="n">
        <v>5</v>
      </c>
      <c r="J36" s="114" t="n">
        <v>20</v>
      </c>
      <c r="K36" s="49" t="inlineStr">
        <is>
          <t>L500/Chambers</t>
        </is>
      </c>
      <c r="L36" s="114" t="n"/>
      <c r="M36" s="114" t="n"/>
    </row>
    <row r="37">
      <c r="A37" s="114" t="inlineStr">
        <is>
          <t>Skierfe</t>
        </is>
      </c>
      <c r="B37" s="49" t="inlineStr">
        <is>
          <t>Ranked independent</t>
        </is>
      </c>
      <c r="C37" s="114" t="n">
        <v>1</v>
      </c>
      <c r="D37" s="114" t="n">
        <v>1</v>
      </c>
      <c r="E37" s="114" t="n">
        <v>0</v>
      </c>
      <c r="F37" s="114" t="n">
        <v>3</v>
      </c>
      <c r="G37" s="49" t="inlineStr">
        <is>
          <t>Real estate</t>
        </is>
      </c>
      <c r="H37" s="49" t="n"/>
      <c r="I37" s="114" t="n"/>
      <c r="J37" s="114" t="n"/>
      <c r="K37" s="49" t="n"/>
      <c r="L37" s="114" t="n"/>
      <c r="M37" s="114" t="n"/>
    </row>
    <row r="38">
      <c r="A38" s="114" t="inlineStr">
        <is>
          <t>Ström</t>
        </is>
      </c>
      <c r="B38" s="49" t="inlineStr">
        <is>
          <t>Ranked independent</t>
        </is>
      </c>
      <c r="C38" s="114" t="n">
        <v>1</v>
      </c>
      <c r="D38" s="114" t="n">
        <v>1</v>
      </c>
      <c r="E38" s="114" t="n">
        <v>0</v>
      </c>
      <c r="F38" s="114" t="n">
        <v>2</v>
      </c>
      <c r="G38" s="49" t="inlineStr">
        <is>
          <t>IP</t>
        </is>
      </c>
      <c r="H38" s="49" t="n"/>
      <c r="I38" s="114" t="n">
        <v>5</v>
      </c>
      <c r="J38" s="114" t="n"/>
      <c r="K38" s="49" t="inlineStr">
        <is>
          <t>Chambers</t>
        </is>
      </c>
      <c r="L38" s="114" t="n"/>
      <c r="M38" s="114" t="n"/>
    </row>
    <row r="39">
      <c r="A39" s="114" t="inlineStr">
        <is>
          <t>Ulfsdotter</t>
        </is>
      </c>
      <c r="B39" s="49" t="inlineStr">
        <is>
          <t>Ranked independent</t>
        </is>
      </c>
      <c r="C39" s="114" t="n">
        <v>1</v>
      </c>
      <c r="D39" s="114" t="n">
        <v>1</v>
      </c>
      <c r="E39" s="114" t="n">
        <v>0</v>
      </c>
      <c r="F39" s="114" t="n">
        <v>2</v>
      </c>
      <c r="G39" s="49" t="inlineStr">
        <is>
          <t>Public procurement</t>
        </is>
      </c>
      <c r="H39" s="49" t="n"/>
      <c r="I39" s="114" t="n"/>
      <c r="J39" s="114" t="n"/>
      <c r="K39" s="49" t="n"/>
      <c r="L39" s="114" t="n"/>
      <c r="M39" s="114" t="n"/>
    </row>
    <row r="40">
      <c r="A40" s="114" t="inlineStr">
        <is>
          <t>Wallin &amp; Partners</t>
        </is>
      </c>
      <c r="B40" s="49" t="inlineStr">
        <is>
          <t>Ranked independent</t>
        </is>
      </c>
      <c r="C40" s="114" t="n">
        <v>1</v>
      </c>
      <c r="D40" s="114" t="n">
        <v>1</v>
      </c>
      <c r="E40" s="114" t="n">
        <v>0</v>
      </c>
      <c r="F40" s="114" t="n">
        <v>3</v>
      </c>
      <c r="G40" s="49" t="inlineStr">
        <is>
          <t>Dispute resolution</t>
        </is>
      </c>
      <c r="H40" s="49" t="n"/>
      <c r="I40" s="114" t="n"/>
      <c r="J40" s="114" t="n"/>
      <c r="K40" s="49" t="n"/>
      <c r="L40" s="114" t="n"/>
      <c r="M40" s="114" t="n"/>
    </row>
    <row r="41">
      <c r="A41" s="114" t="inlineStr">
        <is>
          <t>edpLaw</t>
        </is>
      </c>
      <c r="B41" s="49" t="inlineStr">
        <is>
          <t>Ranked independent</t>
        </is>
      </c>
      <c r="C41" s="114" t="n">
        <v>0</v>
      </c>
      <c r="D41" s="114" t="n">
        <v>2</v>
      </c>
      <c r="E41" s="114" t="n">
        <v>0</v>
      </c>
      <c r="F41" s="114" t="n">
        <v>2</v>
      </c>
      <c r="G41" s="49" t="inlineStr">
        <is>
          <t>Data protection</t>
        </is>
      </c>
      <c r="H41" s="49" t="n"/>
      <c r="I41" s="114" t="n"/>
      <c r="J41" s="114" t="n"/>
      <c r="K41" s="49" t="n"/>
      <c r="L41" s="114" t="n"/>
      <c r="M41" s="114" t="n"/>
    </row>
    <row r="42">
      <c r="A42" s="114" t="inlineStr">
        <is>
          <t>AWA</t>
        </is>
      </c>
      <c r="B42" s="49" t="inlineStr">
        <is>
          <t>Ranked independent</t>
        </is>
      </c>
      <c r="C42" s="114" t="n">
        <v>0</v>
      </c>
      <c r="D42" s="114" t="n">
        <v>1</v>
      </c>
      <c r="E42" s="114" t="n">
        <v>0</v>
      </c>
      <c r="F42" s="114" t="n">
        <v>2</v>
      </c>
      <c r="G42" s="49" t="inlineStr">
        <is>
          <t>IP</t>
        </is>
      </c>
      <c r="H42" s="49" t="n"/>
      <c r="I42" s="114" t="n"/>
      <c r="J42" s="114" t="n"/>
      <c r="K42" s="49" t="n"/>
      <c r="L42" s="114" t="n"/>
      <c r="M42" s="114" t="n"/>
    </row>
    <row r="43">
      <c r="A43" s="114" t="inlineStr">
        <is>
          <t>Advokatfirman Malmstedt Law AB</t>
        </is>
      </c>
      <c r="B43" s="49" t="inlineStr">
        <is>
          <t>Ranked independent</t>
        </is>
      </c>
      <c r="C43" s="114" t="n">
        <v>0</v>
      </c>
      <c r="D43" s="114" t="n">
        <v>1</v>
      </c>
      <c r="E43" s="114" t="n">
        <v>0</v>
      </c>
      <c r="F43" s="114" t="n">
        <v>3</v>
      </c>
      <c r="G43" s="49" t="inlineStr">
        <is>
          <t>IP</t>
        </is>
      </c>
      <c r="H43" s="49" t="n"/>
      <c r="I43" s="114" t="n"/>
      <c r="J43" s="114" t="n"/>
      <c r="K43" s="49" t="n"/>
      <c r="L43" s="114" t="n"/>
      <c r="M43" s="114" t="n"/>
    </row>
    <row r="44">
      <c r="A44" s="114" t="inlineStr">
        <is>
          <t>Affärsadvokaterna i Sverige AB</t>
        </is>
      </c>
      <c r="B44" s="49" t="inlineStr">
        <is>
          <t>Ranked independent</t>
        </is>
      </c>
      <c r="C44" s="114" t="n">
        <v>0</v>
      </c>
      <c r="D44" s="114" t="n">
        <v>1</v>
      </c>
      <c r="E44" s="114" t="n">
        <v>1</v>
      </c>
      <c r="F44" s="114" t="n">
        <v>4</v>
      </c>
      <c r="G44" s="49" t="inlineStr">
        <is>
          <t>IT / TMT</t>
        </is>
      </c>
      <c r="H44" s="49" t="inlineStr">
        <is>
          <t>Data protection</t>
        </is>
      </c>
      <c r="I44" s="114" t="n"/>
      <c r="J44" s="114" t="n"/>
      <c r="K44" s="49" t="n"/>
      <c r="L44" s="114" t="n"/>
      <c r="M44" s="114" t="n"/>
    </row>
    <row r="45">
      <c r="A45" s="114" t="inlineStr">
        <is>
          <t>Alrutz' Advokatbyrå</t>
        </is>
      </c>
      <c r="B45" s="49" t="inlineStr">
        <is>
          <t>Ranked independent</t>
        </is>
      </c>
      <c r="C45" s="114" t="n">
        <v>1</v>
      </c>
      <c r="D45" s="114" t="n">
        <v>0</v>
      </c>
      <c r="E45" s="114" t="n">
        <v>0</v>
      </c>
      <c r="F45" s="114" t="n">
        <v>3</v>
      </c>
      <c r="G45" s="49" t="inlineStr">
        <is>
          <t>Environment</t>
        </is>
      </c>
      <c r="H45" s="49" t="n"/>
      <c r="I45" s="114" t="n"/>
      <c r="J45" s="114" t="n"/>
      <c r="K45" s="49" t="n"/>
      <c r="L45" s="114" t="n"/>
      <c r="M45" s="114" t="n"/>
    </row>
    <row r="46">
      <c r="A46" s="114" t="inlineStr">
        <is>
          <t>Carler</t>
        </is>
      </c>
      <c r="B46" s="49" t="inlineStr">
        <is>
          <t>Ranked independent</t>
        </is>
      </c>
      <c r="C46" s="114" t="n">
        <v>1</v>
      </c>
      <c r="D46" s="114" t="n">
        <v>0</v>
      </c>
      <c r="E46" s="114" t="n">
        <v>0</v>
      </c>
      <c r="F46" s="114" t="n">
        <v>3</v>
      </c>
      <c r="G46" s="49" t="inlineStr">
        <is>
          <t>Insolvency trustees</t>
        </is>
      </c>
      <c r="H46" s="49" t="n"/>
      <c r="I46" s="114" t="n">
        <v>7</v>
      </c>
      <c r="J46" s="114" t="n"/>
      <c r="K46" s="49" t="inlineStr">
        <is>
          <t>Chambers</t>
        </is>
      </c>
      <c r="L46" s="114" t="n"/>
      <c r="M46" s="114" t="n"/>
    </row>
    <row r="47">
      <c r="A47" s="114" t="inlineStr">
        <is>
          <t>DE Advokatbyrå AB</t>
        </is>
      </c>
      <c r="B47" s="49" t="inlineStr">
        <is>
          <t>Ranked independent</t>
        </is>
      </c>
      <c r="C47" s="114" t="n">
        <v>0</v>
      </c>
      <c r="D47" s="114" t="n">
        <v>1</v>
      </c>
      <c r="E47" s="114" t="n">
        <v>0</v>
      </c>
      <c r="F47" s="114" t="n">
        <v>3</v>
      </c>
      <c r="G47" s="49" t="inlineStr">
        <is>
          <t>Construction</t>
        </is>
      </c>
      <c r="H47" s="49" t="n"/>
      <c r="I47" s="114" t="n"/>
      <c r="J47" s="114" t="n"/>
      <c r="K47" s="49" t="n"/>
      <c r="L47" s="114" t="n"/>
      <c r="M47" s="114" t="n"/>
    </row>
    <row r="48">
      <c r="A48" s="114" t="inlineStr">
        <is>
          <t>Edel</t>
        </is>
      </c>
      <c r="B48" s="49" t="inlineStr">
        <is>
          <t>Ranked independent</t>
        </is>
      </c>
      <c r="C48" s="114" t="n">
        <v>1</v>
      </c>
      <c r="D48" s="114" t="n">
        <v>0</v>
      </c>
      <c r="E48" s="114" t="n">
        <v>0</v>
      </c>
      <c r="F48" s="114" t="n">
        <v>4</v>
      </c>
      <c r="G48" s="49" t="inlineStr">
        <is>
          <t>Real estate</t>
        </is>
      </c>
      <c r="H48" s="49" t="n"/>
      <c r="I48" s="114" t="n"/>
      <c r="J48" s="114" t="n"/>
      <c r="K48" s="49" t="n"/>
      <c r="L48" s="114" t="n"/>
      <c r="M48" s="114" t="n"/>
    </row>
    <row r="49">
      <c r="A49" s="114" t="inlineStr">
        <is>
          <t>Forssander Sonander Advokat</t>
        </is>
      </c>
      <c r="B49" s="49" t="inlineStr">
        <is>
          <t>Ranked independent</t>
        </is>
      </c>
      <c r="C49" s="114" t="n">
        <v>0</v>
      </c>
      <c r="D49" s="114" t="n">
        <v>1</v>
      </c>
      <c r="E49" s="114" t="n">
        <v>0</v>
      </c>
      <c r="F49" s="114" t="n">
        <v>3</v>
      </c>
      <c r="G49" s="49" t="inlineStr">
        <is>
          <t>Employment</t>
        </is>
      </c>
      <c r="H49" s="49" t="n"/>
      <c r="I49" s="114" t="n"/>
      <c r="J49" s="114" t="n"/>
      <c r="K49" s="49" t="n"/>
      <c r="L49" s="114" t="n"/>
      <c r="M49" s="114" t="n"/>
    </row>
    <row r="50">
      <c r="A50" s="114" t="inlineStr">
        <is>
          <t>Merino</t>
        </is>
      </c>
      <c r="B50" s="49" t="inlineStr">
        <is>
          <t>Ranked independent</t>
        </is>
      </c>
      <c r="C50" s="114" t="n">
        <v>0</v>
      </c>
      <c r="D50" s="114" t="n">
        <v>1</v>
      </c>
      <c r="E50" s="114" t="n">
        <v>0</v>
      </c>
      <c r="F50" s="114" t="n">
        <v>4</v>
      </c>
      <c r="G50" s="49" t="inlineStr">
        <is>
          <t>Restructuring / insolvency</t>
        </is>
      </c>
      <c r="H50" s="49" t="n"/>
      <c r="I50" s="114" t="n"/>
      <c r="J50" s="114" t="n"/>
      <c r="K50" s="49" t="n"/>
      <c r="L50" s="114" t="n"/>
      <c r="M50" s="114" t="n"/>
    </row>
    <row r="51">
      <c r="A51" s="114" t="inlineStr">
        <is>
          <t>Wimert Lundgren Advokatbyrå</t>
        </is>
      </c>
      <c r="B51" s="49" t="inlineStr">
        <is>
          <t>Ranked independent</t>
        </is>
      </c>
      <c r="C51" s="114" t="n">
        <v>0</v>
      </c>
      <c r="D51" s="114" t="n">
        <v>1</v>
      </c>
      <c r="E51" s="114" t="n">
        <v>0</v>
      </c>
      <c r="F51" s="114" t="n">
        <v>4</v>
      </c>
      <c r="G51" s="49" t="inlineStr">
        <is>
          <t>Construction</t>
        </is>
      </c>
      <c r="H51" s="49" t="n"/>
      <c r="I51" s="114" t="n"/>
      <c r="J51" s="114" t="n"/>
      <c r="K51" s="49" t="n"/>
      <c r="L51" s="114" t="n"/>
      <c r="M51" s="114" t="n"/>
    </row>
    <row r="52">
      <c r="A52" s="114" t="inlineStr">
        <is>
          <t>Zacco</t>
        </is>
      </c>
      <c r="B52" s="49" t="inlineStr">
        <is>
          <t>Ranked independent</t>
        </is>
      </c>
      <c r="C52" s="114" t="n">
        <v>0</v>
      </c>
      <c r="D52" s="114" t="n">
        <v>1</v>
      </c>
      <c r="E52" s="114" t="n">
        <v>0</v>
      </c>
      <c r="F52" s="114" t="n">
        <v>3</v>
      </c>
      <c r="G52" s="49" t="inlineStr">
        <is>
          <t>IP</t>
        </is>
      </c>
      <c r="H52" s="49" t="n"/>
      <c r="I52" s="114" t="n"/>
      <c r="J52" s="114" t="n"/>
      <c r="K52" s="49" t="n"/>
      <c r="L52" s="114" t="n"/>
      <c r="M52" s="114" t="n"/>
    </row>
    <row r="53">
      <c r="A53" s="115" t="inlineStr">
        <is>
          <t>TM &amp; Partners</t>
        </is>
      </c>
      <c r="B53" s="69" t="inlineStr">
        <is>
          <t>Ranked independent: PE-owned (AGRD / Axcel)</t>
        </is>
      </c>
      <c r="C53" s="115" t="n">
        <v>5</v>
      </c>
      <c r="D53" s="115" t="n">
        <v>11</v>
      </c>
      <c r="E53" s="115" t="n">
        <v>0</v>
      </c>
      <c r="F53" s="115" t="n">
        <v>2</v>
      </c>
      <c r="G53" s="69" t="inlineStr">
        <is>
          <t>Employment</t>
        </is>
      </c>
      <c r="H53" s="69" t="n"/>
      <c r="I53" s="115" t="n">
        <v>18</v>
      </c>
      <c r="J53" s="115" t="n">
        <v>63</v>
      </c>
      <c r="K53" s="69" t="inlineStr">
        <is>
          <t>Firm website, Oct-26</t>
        </is>
      </c>
      <c r="L53" s="115" t="n">
        <v>188</v>
      </c>
      <c r="M53" s="115" t="n">
        <v>10.4</v>
      </c>
    </row>
    <row r="54">
      <c r="A54" s="115" t="inlineStr">
        <is>
          <t>Morris Law</t>
        </is>
      </c>
      <c r="B54" s="69" t="inlineStr">
        <is>
          <t>Ranked independent: PE-owned (AGRD / Axcel)</t>
        </is>
      </c>
      <c r="C54" s="115" t="n">
        <v>2</v>
      </c>
      <c r="D54" s="115" t="n">
        <v>9</v>
      </c>
      <c r="E54" s="115" t="n">
        <v>0</v>
      </c>
      <c r="F54" s="115" t="n">
        <v>2</v>
      </c>
      <c r="G54" s="69" t="inlineStr">
        <is>
          <t>Employment; Environment</t>
        </is>
      </c>
      <c r="H54" s="69" t="n"/>
      <c r="I54" s="115" t="n"/>
      <c r="J54" s="115" t="n">
        <v>56</v>
      </c>
      <c r="K54" s="69" t="inlineStr">
        <is>
          <t>L500</t>
        </is>
      </c>
      <c r="L54" s="115" t="n">
        <v>163</v>
      </c>
      <c r="M54" s="115" t="n"/>
    </row>
    <row r="55">
      <c r="A55" s="115" t="inlineStr">
        <is>
          <t>Born</t>
        </is>
      </c>
      <c r="B55" s="69" t="inlineStr">
        <is>
          <t>Ranked independent: PE-owned (AGRD / Axcel)</t>
        </is>
      </c>
      <c r="C55" s="115" t="n">
        <v>1</v>
      </c>
      <c r="D55" s="115" t="n">
        <v>1</v>
      </c>
      <c r="E55" s="115" t="n">
        <v>0</v>
      </c>
      <c r="F55" s="115" t="n">
        <v>3</v>
      </c>
      <c r="G55" s="69" t="inlineStr">
        <is>
          <t>Real estate</t>
        </is>
      </c>
      <c r="H55" s="69" t="n"/>
      <c r="I55" s="115" t="n">
        <v>9</v>
      </c>
      <c r="J55" s="115" t="n">
        <v>26</v>
      </c>
      <c r="K55" s="69" t="inlineStr">
        <is>
          <t>Firm website, Oct-26</t>
        </is>
      </c>
      <c r="L55" s="115" t="n">
        <v>86</v>
      </c>
      <c r="M55" s="115" t="n">
        <v>9.6</v>
      </c>
    </row>
    <row r="56">
      <c r="A56" s="115" t="inlineStr">
        <is>
          <t>Synch</t>
        </is>
      </c>
      <c r="B56" s="69" t="inlineStr">
        <is>
          <t>Ranked independent: PE-owned (AGRD / Axcel)</t>
        </is>
      </c>
      <c r="C56" s="115" t="n">
        <v>2</v>
      </c>
      <c r="D56" s="115" t="n">
        <v>7</v>
      </c>
      <c r="E56" s="115" t="n">
        <v>0</v>
      </c>
      <c r="F56" s="115" t="n">
        <v>2</v>
      </c>
      <c r="G56" s="69" t="inlineStr">
        <is>
          <t>IP</t>
        </is>
      </c>
      <c r="H56" s="69" t="n"/>
      <c r="I56" s="115" t="n">
        <v>9</v>
      </c>
      <c r="J56" s="115" t="n">
        <v>38</v>
      </c>
      <c r="K56" s="69" t="inlineStr">
        <is>
          <t>Firm website, Oct-26</t>
        </is>
      </c>
      <c r="L56" s="115" t="n">
        <v>73</v>
      </c>
      <c r="M56" s="115" t="n">
        <v>8.1</v>
      </c>
    </row>
    <row r="57">
      <c r="A57" s="115" t="inlineStr">
        <is>
          <t>Next Law</t>
        </is>
      </c>
      <c r="B57" s="69" t="inlineStr">
        <is>
          <t>Ranked independent: PE-owned (AGRD / Axcel)</t>
        </is>
      </c>
      <c r="C57" s="115" t="n">
        <v>1</v>
      </c>
      <c r="D57" s="115" t="n">
        <v>4</v>
      </c>
      <c r="E57" s="115" t="n">
        <v>0</v>
      </c>
      <c r="F57" s="115" t="n">
        <v>2</v>
      </c>
      <c r="G57" s="69" t="inlineStr">
        <is>
          <t>Shipping</t>
        </is>
      </c>
      <c r="H57" s="69" t="n"/>
      <c r="I57" s="115" t="n"/>
      <c r="J57" s="115" t="n"/>
      <c r="K57" s="69" t="n"/>
      <c r="L57" s="115" t="n">
        <v>58</v>
      </c>
      <c r="M57" s="115" t="n"/>
    </row>
    <row r="58">
      <c r="A58" s="115" t="inlineStr">
        <is>
          <t>Allié</t>
        </is>
      </c>
      <c r="B58" s="69" t="inlineStr">
        <is>
          <t>Ranked independent: PE-owned (AGRD / Axcel)</t>
        </is>
      </c>
      <c r="C58" s="115" t="n">
        <v>0</v>
      </c>
      <c r="D58" s="115" t="n">
        <v>1</v>
      </c>
      <c r="E58" s="115" t="n">
        <v>0</v>
      </c>
      <c r="F58" s="115" t="n">
        <v>4</v>
      </c>
      <c r="G58" s="69" t="inlineStr">
        <is>
          <t>Real estate</t>
        </is>
      </c>
      <c r="H58" s="69" t="n"/>
      <c r="I58" s="115" t="n"/>
      <c r="J58" s="115" t="n"/>
      <c r="K58" s="69" t="n"/>
      <c r="L58" s="115" t="n"/>
      <c r="M58" s="115" t="n"/>
    </row>
    <row r="59">
      <c r="A59" s="116" t="inlineStr">
        <is>
          <t>Foyen</t>
        </is>
      </c>
      <c r="B59" s="71" t="inlineStr">
        <is>
          <t>Borderline: Mid-size full-service</t>
        </is>
      </c>
      <c r="C59" s="116" t="n">
        <v>0</v>
      </c>
      <c r="D59" s="116" t="n">
        <v>6</v>
      </c>
      <c r="E59" s="116" t="n">
        <v>0</v>
      </c>
      <c r="F59" s="116" t="n">
        <v>2</v>
      </c>
      <c r="G59" s="71" t="inlineStr">
        <is>
          <t>Construction; Energy; Environment</t>
        </is>
      </c>
      <c r="H59" s="71" t="n"/>
      <c r="I59" s="116" t="n">
        <v>23</v>
      </c>
      <c r="J59" s="116" t="n">
        <v>73</v>
      </c>
      <c r="K59" s="71" t="inlineStr">
        <is>
          <t>Firm website, Oct-26</t>
        </is>
      </c>
      <c r="L59" s="116" t="n">
        <v>277</v>
      </c>
      <c r="M59" s="116" t="n">
        <v>12</v>
      </c>
    </row>
    <row r="60">
      <c r="A60" s="116" t="inlineStr">
        <is>
          <t>Hammarskiöld</t>
        </is>
      </c>
      <c r="B60" s="71" t="inlineStr">
        <is>
          <t>Borderline: Mid-size full-service</t>
        </is>
      </c>
      <c r="C60" s="116" t="n">
        <v>4</v>
      </c>
      <c r="D60" s="116" t="n">
        <v>10</v>
      </c>
      <c r="E60" s="116" t="n">
        <v>0</v>
      </c>
      <c r="F60" s="116" t="n">
        <v>2</v>
      </c>
      <c r="G60" s="71" t="inlineStr">
        <is>
          <t>Banking &amp; finance; Healthcare / life sciences</t>
        </is>
      </c>
      <c r="H60" s="71" t="n"/>
      <c r="I60" s="116" t="n"/>
      <c r="J60" s="116" t="n">
        <v>47</v>
      </c>
      <c r="K60" s="71" t="inlineStr">
        <is>
          <t>Chambers</t>
        </is>
      </c>
      <c r="L60" s="116" t="n">
        <v>158</v>
      </c>
      <c r="M60" s="116" t="n"/>
    </row>
    <row r="61">
      <c r="A61" s="116" t="inlineStr">
        <is>
          <t>Wigge &amp; Partners</t>
        </is>
      </c>
      <c r="B61" s="71" t="inlineStr">
        <is>
          <t>Borderline: Mid-size corporate</t>
        </is>
      </c>
      <c r="C61" s="116" t="n">
        <v>5</v>
      </c>
      <c r="D61" s="116" t="n">
        <v>3</v>
      </c>
      <c r="E61" s="116" t="n">
        <v>0</v>
      </c>
      <c r="F61" s="116" t="n">
        <v>1</v>
      </c>
      <c r="G61" s="71" t="inlineStr">
        <is>
          <t>Real estate</t>
        </is>
      </c>
      <c r="H61" s="71" t="n"/>
      <c r="I61" s="116" t="n">
        <v>11</v>
      </c>
      <c r="J61" s="116" t="n">
        <v>40</v>
      </c>
      <c r="K61" s="71" t="inlineStr">
        <is>
          <t>Firm website, Oct-26</t>
        </is>
      </c>
      <c r="L61" s="116" t="n">
        <v>146</v>
      </c>
      <c r="M61" s="116" t="n">
        <v>13.3</v>
      </c>
    </row>
    <row r="62">
      <c r="A62" s="116" t="inlineStr">
        <is>
          <t>Fylgia</t>
        </is>
      </c>
      <c r="B62" s="71" t="inlineStr">
        <is>
          <t>Borderline: Mid-size full-service</t>
        </is>
      </c>
      <c r="C62" s="116" t="n">
        <v>1</v>
      </c>
      <c r="D62" s="116" t="n">
        <v>6</v>
      </c>
      <c r="E62" s="116" t="n">
        <v>0</v>
      </c>
      <c r="F62" s="116" t="n">
        <v>2</v>
      </c>
      <c r="G62" s="71" t="inlineStr">
        <is>
          <t>Public procurement; Restructuring / insolvency</t>
        </is>
      </c>
      <c r="H62" s="71" t="n"/>
      <c r="I62" s="116" t="n">
        <v>21</v>
      </c>
      <c r="J62" s="116" t="n">
        <v>35</v>
      </c>
      <c r="K62" s="71" t="inlineStr">
        <is>
          <t>Firm website, Oct-26</t>
        </is>
      </c>
      <c r="L62" s="116" t="n">
        <v>131</v>
      </c>
      <c r="M62" s="116" t="n">
        <v>6.2</v>
      </c>
    </row>
    <row r="63">
      <c r="A63" s="116" t="inlineStr">
        <is>
          <t>Kanter</t>
        </is>
      </c>
      <c r="B63" s="71" t="inlineStr">
        <is>
          <t>Borderline: Mid-size corporate</t>
        </is>
      </c>
      <c r="C63" s="116" t="n">
        <v>3</v>
      </c>
      <c r="D63" s="116" t="n">
        <v>0</v>
      </c>
      <c r="E63" s="116" t="n">
        <v>0</v>
      </c>
      <c r="F63" s="116" t="n">
        <v>4</v>
      </c>
      <c r="G63" s="71" t="inlineStr">
        <is>
          <t>IP; Private equity</t>
        </is>
      </c>
      <c r="H63" s="71" t="n"/>
      <c r="I63" s="116" t="n">
        <v>13</v>
      </c>
      <c r="J63" s="116" t="n">
        <v>39</v>
      </c>
      <c r="K63" s="71" t="inlineStr">
        <is>
          <t>Chambers (IFLR1000: 10 partners / Realtid: 21 lawyers; conflicting)</t>
        </is>
      </c>
      <c r="L63" s="116" t="n"/>
      <c r="M63" s="116" t="n"/>
    </row>
    <row r="64">
      <c r="A64" s="117" t="inlineStr">
        <is>
          <t>HC Advokat AB</t>
        </is>
      </c>
      <c r="B64" s="73" t="inlineStr">
        <is>
          <t>Legal 500 firm to watch only</t>
        </is>
      </c>
      <c r="C64" s="117" t="n">
        <v>0</v>
      </c>
      <c r="D64" s="117" t="n">
        <v>0</v>
      </c>
      <c r="E64" s="117" t="n">
        <v>1</v>
      </c>
      <c r="F64" s="117" t="n"/>
      <c r="G64" s="73" t="n"/>
      <c r="H64" s="73" t="inlineStr">
        <is>
          <t>Construction</t>
        </is>
      </c>
      <c r="I64" s="117" t="n"/>
      <c r="J64" s="117" t="n"/>
      <c r="K64" s="73" t="n"/>
      <c r="L64" s="117" t="n"/>
      <c r="M64" s="117" t="n"/>
    </row>
    <row r="65">
      <c r="A65" s="117" t="inlineStr">
        <is>
          <t>Pogona Advokatbyrå AB</t>
        </is>
      </c>
      <c r="B65" s="73" t="inlineStr">
        <is>
          <t>Legal 500 firm to watch only</t>
        </is>
      </c>
      <c r="C65" s="117" t="n">
        <v>0</v>
      </c>
      <c r="D65" s="117" t="n">
        <v>0</v>
      </c>
      <c r="E65" s="117" t="n">
        <v>1</v>
      </c>
      <c r="F65" s="117" t="n"/>
      <c r="G65" s="73" t="n"/>
      <c r="H65" s="73" t="inlineStr">
        <is>
          <t>Environment</t>
        </is>
      </c>
      <c r="I65" s="117" t="n"/>
      <c r="J65" s="117" t="n"/>
      <c r="K65" s="73" t="n"/>
      <c r="L65" s="117" t="n"/>
      <c r="M65" s="117" t="n"/>
    </row>
    <row r="67">
      <c r="A67" s="45" t="inlineStr">
        <is>
          <t>Best band/tier: 1 = top (Chambers band or Legal 500 tier, whichever is better). Blue = full-service Swedish firms; yellow = PE-owned (AGRD, Axcel-backed roll-up formed Aug-2025); green = Legal 500 firm to watch only; grey = borderline mid-size firms. Note: Wigge and Moll Wendén have since joined AGRD (2026). Revenue = Affärsvärlden FY2024 (revised table, 3 Oct 2025).</t>
        </is>
      </c>
    </row>
    <row r="68">
      <c r="A68" s="45" t="inlineStr">
        <is>
          <t>Excluded (international): BAHR, Baker McKenzie, Barker Brettell LLP, Bird &amp; Bird, CMS Wistrand, DLA Piper, Ernst &amp; Young AB, Eversheds Sutherland, Kilpatrick Townsend &amp; Stockton Advokat KB, Linklaters, Magnusson, Potter Clarkson LLP, Roschier, Schjødt, Snellman, White &amp; Case.</t>
        </is>
      </c>
    </row>
  </sheetData>
  <mergeCells count="1">
    <mergeCell ref="A2:M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66"/>
  <sheetViews>
    <sheetView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24" customWidth="1" style="112" min="1" max="1"/>
    <col width="8" customWidth="1" style="112" min="2" max="2"/>
    <col width="8" customWidth="1" style="112" min="3" max="3"/>
    <col width="8" customWidth="1" style="112" min="4" max="4"/>
    <col width="6.5" customWidth="1" style="112" min="5" max="5"/>
    <col width="6.5" customWidth="1" style="112" min="6" max="6"/>
    <col width="6.5" customWidth="1" style="112" min="7" max="7"/>
    <col width="6.5" customWidth="1" style="112" min="8" max="8"/>
    <col width="6.5" customWidth="1" style="112" min="9" max="9"/>
    <col width="6.5" customWidth="1" style="112" min="10" max="10"/>
    <col width="6.5" customWidth="1" style="112" min="11" max="11"/>
    <col width="6.5" customWidth="1" style="112" min="12" max="12"/>
    <col width="6.5" customWidth="1" style="112" min="13" max="13"/>
    <col width="6.5" customWidth="1" style="112" min="14" max="14"/>
    <col width="6.5" customWidth="1" style="112" min="15" max="15"/>
    <col width="6.5" customWidth="1" style="112" min="16" max="16"/>
    <col width="6.5" customWidth="1" style="112" min="17" max="17"/>
    <col width="6.5" customWidth="1" style="112" min="18" max="18"/>
    <col width="6.5" customWidth="1" style="112" min="19" max="19"/>
    <col width="6.5" customWidth="1" style="112" min="20" max="20"/>
    <col width="6.5" customWidth="1" style="112" min="21" max="21"/>
    <col width="6.5" customWidth="1" style="112" min="22" max="22"/>
    <col width="6.5" customWidth="1" style="112" min="23" max="23"/>
    <col width="6.5" customWidth="1" style="112" min="24" max="24"/>
    <col width="6.5" customWidth="1" style="112" min="25" max="25"/>
    <col width="6.5" customWidth="1" style="112" min="26" max="26"/>
    <col width="6.5" customWidth="1" style="112" min="27" max="27"/>
    <col width="6.5" customWidth="1" style="112" min="28" max="28"/>
    <col width="6.5" customWidth="1" style="112" min="29" max="29"/>
    <col width="6.5" customWidth="1" style="112" min="30" max="30"/>
    <col width="6.5" customWidth="1" style="112" min="31" max="31"/>
    <col width="6.5" customWidth="1" style="112" min="32" max="32"/>
    <col width="6.5" customWidth="1" style="112" min="33" max="33"/>
    <col width="6.5" customWidth="1" style="112" min="34" max="34"/>
    <col width="6.5" customWidth="1" style="112" min="35" max="35"/>
    <col width="6.5" customWidth="1" style="112" min="36" max="36"/>
    <col width="6.5" customWidth="1" style="112" min="37" max="37"/>
    <col width="6.5" customWidth="1" style="112" min="38" max="38"/>
    <col width="6.5" customWidth="1" style="112" min="39" max="39"/>
    <col width="6.5" customWidth="1" style="112" min="40" max="40"/>
    <col width="6.5" customWidth="1" style="112" min="41" max="41"/>
    <col width="6.5" customWidth="1" style="112" min="42" max="42"/>
    <col width="6.5" customWidth="1" style="112" min="43" max="43"/>
    <col width="6.5" customWidth="1" style="112" min="44" max="44"/>
    <col width="6.5" customWidth="1" style="112" min="45" max="45"/>
    <col width="6.5" customWidth="1" style="112" min="46" max="46"/>
    <col width="6.5" customWidth="1" style="112" min="47" max="47"/>
    <col width="6.5" customWidth="1" style="112" min="48" max="48"/>
    <col width="6.5" customWidth="1" style="112" min="49" max="49"/>
    <col width="6.5" customWidth="1" style="112" min="50" max="50"/>
    <col width="6.5" customWidth="1" style="112" min="51" max="51"/>
    <col width="6.5" customWidth="1" style="112" min="52" max="52"/>
    <col width="6.5" customWidth="1" style="112" min="53" max="53"/>
    <col width="6.5" customWidth="1" style="112" min="54" max="54"/>
  </cols>
  <sheetData>
    <row r="1">
      <c r="A1" s="1" t="inlineStr">
        <is>
          <t>Section B. Chambers &amp; Legal 500 practice rankings: Sweden</t>
        </is>
      </c>
    </row>
    <row r="2" ht="45" customHeight="1" s="112">
      <c r="A2" s="2" t="inlineStr">
        <is>
          <t>Chambers Europe 2026 (firm bands, B1 = top) and Legal 500 EMEA, current edition (firm tiers, T1 = top; FTW = firm to watch). Extracted from chambers.com and legal500.com on 2026-10-08. Blank = not ranked. Score = sum of points (band/tier 1 = 5 ... 5 = 1, FTW = 0.5). Rows sorted by score; firms with score &lt; 4 omitted, except boxed firms. Magnusson, Delphi and Lindahl are grouped together so they can share one box.</t>
        </is>
      </c>
    </row>
    <row r="4" ht="48" customHeight="1" s="112">
      <c r="A4" s="3" t="inlineStr">
        <is>
          <t>Firm</t>
        </is>
      </c>
      <c r="B4" s="3" t="inlineStr">
        <is>
          <t>Score</t>
        </is>
      </c>
      <c r="C4" s="3" t="inlineStr">
        <is>
          <t># Chambers</t>
        </is>
      </c>
      <c r="D4" s="3" t="inlineStr">
        <is>
          <t># Legal 500</t>
        </is>
      </c>
      <c r="E4" s="3" t="inlineStr">
        <is>
          <t>Corporate / M&amp;A</t>
        </is>
      </c>
      <c r="G4" s="3" t="inlineStr">
        <is>
          <t>Private equity</t>
        </is>
      </c>
      <c r="I4" s="3" t="inlineStr">
        <is>
          <t>PE fund formation</t>
        </is>
      </c>
      <c r="K4" s="3" t="inlineStr">
        <is>
          <t>Banking &amp; finance</t>
        </is>
      </c>
      <c r="M4" s="3" t="inlineStr">
        <is>
          <t>Capital markets: equity</t>
        </is>
      </c>
      <c r="O4" s="3" t="inlineStr">
        <is>
          <t>Capital markets: debt</t>
        </is>
      </c>
      <c r="Q4" s="3" t="inlineStr">
        <is>
          <t>Dispute resolution</t>
        </is>
      </c>
      <c r="S4" s="3" t="inlineStr">
        <is>
          <t>Restructuring / insolvency</t>
        </is>
      </c>
      <c r="U4" s="3" t="inlineStr">
        <is>
          <t>Insolvency trustees</t>
        </is>
      </c>
      <c r="W4" s="3" t="inlineStr">
        <is>
          <t>Competition / EU</t>
        </is>
      </c>
      <c r="Y4" s="3" t="inlineStr">
        <is>
          <t>Employment</t>
        </is>
      </c>
      <c r="AA4" s="3" t="inlineStr">
        <is>
          <t>Tax</t>
        </is>
      </c>
      <c r="AC4" s="3" t="inlineStr">
        <is>
          <t>Real estate</t>
        </is>
      </c>
      <c r="AE4" s="3" t="inlineStr">
        <is>
          <t>Construction</t>
        </is>
      </c>
      <c r="AG4" s="3" t="inlineStr">
        <is>
          <t>IP</t>
        </is>
      </c>
      <c r="AI4" s="3" t="inlineStr">
        <is>
          <t>IT / TMT</t>
        </is>
      </c>
      <c r="AK4" s="3" t="inlineStr">
        <is>
          <t>Data protection</t>
        </is>
      </c>
      <c r="AM4" s="3" t="inlineStr">
        <is>
          <t>Fintech</t>
        </is>
      </c>
      <c r="AO4" s="3" t="inlineStr">
        <is>
          <t>Energy</t>
        </is>
      </c>
      <c r="AQ4" s="3" t="inlineStr">
        <is>
          <t>Environment</t>
        </is>
      </c>
      <c r="AS4" s="3" t="inlineStr">
        <is>
          <t>Insurance</t>
        </is>
      </c>
      <c r="AU4" s="3" t="inlineStr">
        <is>
          <t>Public procurement</t>
        </is>
      </c>
      <c r="AW4" s="3" t="inlineStr">
        <is>
          <t>Healthcare / life sciences</t>
        </is>
      </c>
      <c r="AY4" s="3" t="inlineStr">
        <is>
          <t>Shipping</t>
        </is>
      </c>
      <c r="BA4" s="3" t="inlineStr">
        <is>
          <t>Corporate investigations</t>
        </is>
      </c>
    </row>
    <row r="5">
      <c r="E5" s="4" t="inlineStr">
        <is>
          <t>CH</t>
        </is>
      </c>
      <c r="F5" s="4" t="inlineStr">
        <is>
          <t>L500</t>
        </is>
      </c>
      <c r="G5" s="4" t="inlineStr">
        <is>
          <t>CH</t>
        </is>
      </c>
      <c r="H5" s="4" t="inlineStr">
        <is>
          <t>L500 n/a</t>
        </is>
      </c>
      <c r="I5" s="4" t="inlineStr">
        <is>
          <t>CH</t>
        </is>
      </c>
      <c r="J5" s="4" t="inlineStr">
        <is>
          <t>L500 n/a</t>
        </is>
      </c>
      <c r="K5" s="4" t="inlineStr">
        <is>
          <t>CH</t>
        </is>
      </c>
      <c r="L5" s="4" t="inlineStr">
        <is>
          <t>L500</t>
        </is>
      </c>
      <c r="M5" s="4" t="inlineStr">
        <is>
          <t>CH</t>
        </is>
      </c>
      <c r="N5" s="4" t="inlineStr">
        <is>
          <t>L500</t>
        </is>
      </c>
      <c r="O5" s="4" t="inlineStr">
        <is>
          <t>CH</t>
        </is>
      </c>
      <c r="P5" s="4" t="inlineStr">
        <is>
          <t>L500</t>
        </is>
      </c>
      <c r="Q5" s="4" t="inlineStr">
        <is>
          <t>CH</t>
        </is>
      </c>
      <c r="R5" s="4" t="inlineStr">
        <is>
          <t>L500</t>
        </is>
      </c>
      <c r="S5" s="4" t="inlineStr">
        <is>
          <t>CH</t>
        </is>
      </c>
      <c r="T5" s="4" t="inlineStr">
        <is>
          <t>L500</t>
        </is>
      </c>
      <c r="U5" s="4" t="inlineStr">
        <is>
          <t>CH</t>
        </is>
      </c>
      <c r="V5" s="4" t="inlineStr">
        <is>
          <t>L500 n/a</t>
        </is>
      </c>
      <c r="W5" s="4" t="inlineStr">
        <is>
          <t>CH</t>
        </is>
      </c>
      <c r="X5" s="4" t="inlineStr">
        <is>
          <t>L500</t>
        </is>
      </c>
      <c r="Y5" s="4" t="inlineStr">
        <is>
          <t>CH</t>
        </is>
      </c>
      <c r="Z5" s="4" t="inlineStr">
        <is>
          <t>L500</t>
        </is>
      </c>
      <c r="AA5" s="4" t="inlineStr">
        <is>
          <t>CH</t>
        </is>
      </c>
      <c r="AB5" s="4" t="inlineStr">
        <is>
          <t>L500</t>
        </is>
      </c>
      <c r="AC5" s="4" t="inlineStr">
        <is>
          <t>CH</t>
        </is>
      </c>
      <c r="AD5" s="4" t="inlineStr">
        <is>
          <t>L500</t>
        </is>
      </c>
      <c r="AE5" s="4" t="inlineStr">
        <is>
          <t>CH n/a</t>
        </is>
      </c>
      <c r="AF5" s="4" t="inlineStr">
        <is>
          <t>L500</t>
        </is>
      </c>
      <c r="AG5" s="4" t="inlineStr">
        <is>
          <t>CH</t>
        </is>
      </c>
      <c r="AH5" s="4" t="inlineStr">
        <is>
          <t>L500</t>
        </is>
      </c>
      <c r="AI5" s="4" t="inlineStr">
        <is>
          <t>CH</t>
        </is>
      </c>
      <c r="AJ5" s="4" t="inlineStr">
        <is>
          <t>L500</t>
        </is>
      </c>
      <c r="AK5" s="4" t="inlineStr">
        <is>
          <t>CH n/a</t>
        </is>
      </c>
      <c r="AL5" s="4" t="inlineStr">
        <is>
          <t>L500</t>
        </is>
      </c>
      <c r="AM5" s="4" t="inlineStr">
        <is>
          <t>CH n/a</t>
        </is>
      </c>
      <c r="AN5" s="4" t="inlineStr">
        <is>
          <t>L500</t>
        </is>
      </c>
      <c r="AO5" s="4" t="inlineStr">
        <is>
          <t>CH</t>
        </is>
      </c>
      <c r="AP5" s="4" t="inlineStr">
        <is>
          <t>L500</t>
        </is>
      </c>
      <c r="AQ5" s="4" t="inlineStr">
        <is>
          <t>CH</t>
        </is>
      </c>
      <c r="AR5" s="4" t="inlineStr">
        <is>
          <t>L500</t>
        </is>
      </c>
      <c r="AS5" s="4" t="inlineStr">
        <is>
          <t>CH</t>
        </is>
      </c>
      <c r="AT5" s="4" t="inlineStr">
        <is>
          <t>L500</t>
        </is>
      </c>
      <c r="AU5" s="4" t="inlineStr">
        <is>
          <t>CH</t>
        </is>
      </c>
      <c r="AV5" s="4" t="inlineStr">
        <is>
          <t>L500</t>
        </is>
      </c>
      <c r="AW5" s="4" t="inlineStr">
        <is>
          <t>CH n/a</t>
        </is>
      </c>
      <c r="AX5" s="4" t="inlineStr">
        <is>
          <t>L500</t>
        </is>
      </c>
      <c r="AY5" s="4" t="inlineStr">
        <is>
          <t>CH n/a</t>
        </is>
      </c>
      <c r="AZ5" s="4" t="inlineStr">
        <is>
          <t>L500</t>
        </is>
      </c>
      <c r="BA5" s="4" t="inlineStr">
        <is>
          <t>CH</t>
        </is>
      </c>
      <c r="BB5" s="4" t="inlineStr">
        <is>
          <t>L500 n/a</t>
        </is>
      </c>
    </row>
    <row r="6">
      <c r="A6" s="5" t="inlineStr">
        <is>
          <t>Mannheimer Swartling</t>
        </is>
      </c>
      <c r="B6" s="6" t="n">
        <v>193</v>
      </c>
      <c r="C6" s="6" t="n">
        <v>19</v>
      </c>
      <c r="D6" s="6" t="n">
        <v>21</v>
      </c>
      <c r="E6" s="7" t="inlineStr">
        <is>
          <t>B1</t>
        </is>
      </c>
      <c r="F6" s="7" t="inlineStr">
        <is>
          <t>T1</t>
        </is>
      </c>
      <c r="G6" s="7" t="inlineStr">
        <is>
          <t>B1</t>
        </is>
      </c>
      <c r="H6" s="8" t="n"/>
      <c r="I6" s="7" t="inlineStr">
        <is>
          <t>B1</t>
        </is>
      </c>
      <c r="J6" s="8" t="n"/>
      <c r="K6" s="7" t="inlineStr">
        <is>
          <t>B1</t>
        </is>
      </c>
      <c r="L6" s="7" t="inlineStr">
        <is>
          <t>T1</t>
        </is>
      </c>
      <c r="M6" s="9" t="inlineStr">
        <is>
          <t>B2</t>
        </is>
      </c>
      <c r="N6" s="7" t="inlineStr">
        <is>
          <t>T1</t>
        </is>
      </c>
      <c r="O6" s="9" t="inlineStr">
        <is>
          <t>B2</t>
        </is>
      </c>
      <c r="P6" s="7" t="inlineStr">
        <is>
          <t>T1</t>
        </is>
      </c>
      <c r="Q6" s="7" t="inlineStr">
        <is>
          <t>B1</t>
        </is>
      </c>
      <c r="R6" s="7" t="inlineStr">
        <is>
          <t>T1</t>
        </is>
      </c>
      <c r="S6" s="7" t="inlineStr">
        <is>
          <t>B1</t>
        </is>
      </c>
      <c r="T6" s="7" t="inlineStr">
        <is>
          <t>T1</t>
        </is>
      </c>
      <c r="U6" s="10" t="n"/>
      <c r="V6" s="8" t="n"/>
      <c r="W6" s="7" t="inlineStr">
        <is>
          <t>B1</t>
        </is>
      </c>
      <c r="X6" s="7" t="inlineStr">
        <is>
          <t>T1</t>
        </is>
      </c>
      <c r="Y6" s="7" t="inlineStr">
        <is>
          <t>B1</t>
        </is>
      </c>
      <c r="Z6" s="7" t="inlineStr">
        <is>
          <t>T1</t>
        </is>
      </c>
      <c r="AA6" s="7" t="inlineStr">
        <is>
          <t>B1</t>
        </is>
      </c>
      <c r="AB6" s="7" t="inlineStr">
        <is>
          <t>T1</t>
        </is>
      </c>
      <c r="AC6" s="7" t="inlineStr">
        <is>
          <t>B1</t>
        </is>
      </c>
      <c r="AD6" s="7" t="inlineStr">
        <is>
          <t>T1</t>
        </is>
      </c>
      <c r="AE6" s="8" t="n"/>
      <c r="AF6" s="7" t="inlineStr">
        <is>
          <t>T1</t>
        </is>
      </c>
      <c r="AG6" s="9" t="inlineStr">
        <is>
          <t>B2</t>
        </is>
      </c>
      <c r="AH6" s="9" t="inlineStr">
        <is>
          <t>T2</t>
        </is>
      </c>
      <c r="AI6" s="7" t="inlineStr">
        <is>
          <t>B1</t>
        </is>
      </c>
      <c r="AJ6" s="7" t="inlineStr">
        <is>
          <t>T1</t>
        </is>
      </c>
      <c r="AK6" s="8" t="n"/>
      <c r="AL6" s="7" t="inlineStr">
        <is>
          <t>T1</t>
        </is>
      </c>
      <c r="AM6" s="8" t="n"/>
      <c r="AN6" s="7" t="inlineStr">
        <is>
          <t>T1</t>
        </is>
      </c>
      <c r="AO6" s="7" t="inlineStr">
        <is>
          <t>B1</t>
        </is>
      </c>
      <c r="AP6" s="7" t="inlineStr">
        <is>
          <t>T1</t>
        </is>
      </c>
      <c r="AQ6" s="7" t="inlineStr">
        <is>
          <t>B1</t>
        </is>
      </c>
      <c r="AR6" s="7" t="inlineStr">
        <is>
          <t>T1</t>
        </is>
      </c>
      <c r="AS6" s="7" t="inlineStr">
        <is>
          <t>B1</t>
        </is>
      </c>
      <c r="AT6" s="7" t="inlineStr">
        <is>
          <t>T1</t>
        </is>
      </c>
      <c r="AU6" s="11" t="inlineStr">
        <is>
          <t>B3</t>
        </is>
      </c>
      <c r="AV6" s="9" t="inlineStr">
        <is>
          <t>T2</t>
        </is>
      </c>
      <c r="AW6" s="8" t="n"/>
      <c r="AX6" s="7" t="inlineStr">
        <is>
          <t>T1</t>
        </is>
      </c>
      <c r="AY6" s="8" t="n"/>
      <c r="AZ6" s="7" t="inlineStr">
        <is>
          <t>T1</t>
        </is>
      </c>
      <c r="BA6" s="7" t="inlineStr">
        <is>
          <t>B1</t>
        </is>
      </c>
      <c r="BB6" s="8" t="n"/>
    </row>
    <row r="7">
      <c r="A7" s="5" t="inlineStr">
        <is>
          <t>Vinge</t>
        </is>
      </c>
      <c r="B7" s="6" t="n">
        <v>189</v>
      </c>
      <c r="C7" s="6" t="n">
        <v>19</v>
      </c>
      <c r="D7" s="6" t="n">
        <v>21</v>
      </c>
      <c r="E7" s="7" t="inlineStr">
        <is>
          <t>B1</t>
        </is>
      </c>
      <c r="F7" s="7" t="inlineStr">
        <is>
          <t>T1</t>
        </is>
      </c>
      <c r="G7" s="7" t="inlineStr">
        <is>
          <t>B1</t>
        </is>
      </c>
      <c r="H7" s="8" t="n"/>
      <c r="I7" s="7" t="inlineStr">
        <is>
          <t>B1</t>
        </is>
      </c>
      <c r="J7" s="8" t="n"/>
      <c r="K7" s="7" t="inlineStr">
        <is>
          <t>B1</t>
        </is>
      </c>
      <c r="L7" s="7" t="inlineStr">
        <is>
          <t>T1</t>
        </is>
      </c>
      <c r="M7" s="7" t="inlineStr">
        <is>
          <t>B1</t>
        </is>
      </c>
      <c r="N7" s="7" t="inlineStr">
        <is>
          <t>T1</t>
        </is>
      </c>
      <c r="O7" s="9" t="inlineStr">
        <is>
          <t>B2</t>
        </is>
      </c>
      <c r="P7" s="7" t="inlineStr">
        <is>
          <t>T1</t>
        </is>
      </c>
      <c r="Q7" s="7" t="inlineStr">
        <is>
          <t>B1</t>
        </is>
      </c>
      <c r="R7" s="7" t="inlineStr">
        <is>
          <t>T1</t>
        </is>
      </c>
      <c r="S7" s="7" t="inlineStr">
        <is>
          <t>B1</t>
        </is>
      </c>
      <c r="T7" s="7" t="inlineStr">
        <is>
          <t>T1</t>
        </is>
      </c>
      <c r="U7" s="10" t="n"/>
      <c r="V7" s="8" t="n"/>
      <c r="W7" s="7" t="inlineStr">
        <is>
          <t>B1</t>
        </is>
      </c>
      <c r="X7" s="7" t="inlineStr">
        <is>
          <t>T1</t>
        </is>
      </c>
      <c r="Y7" s="7" t="inlineStr">
        <is>
          <t>B1</t>
        </is>
      </c>
      <c r="Z7" s="7" t="inlineStr">
        <is>
          <t>T1</t>
        </is>
      </c>
      <c r="AA7" s="7" t="inlineStr">
        <is>
          <t>B1</t>
        </is>
      </c>
      <c r="AB7" s="7" t="inlineStr">
        <is>
          <t>T1</t>
        </is>
      </c>
      <c r="AC7" s="11" t="inlineStr">
        <is>
          <t>B3</t>
        </is>
      </c>
      <c r="AD7" s="9" t="inlineStr">
        <is>
          <t>T2</t>
        </is>
      </c>
      <c r="AE7" s="8" t="n"/>
      <c r="AF7" s="9" t="inlineStr">
        <is>
          <t>T2</t>
        </is>
      </c>
      <c r="AG7" s="7" t="inlineStr">
        <is>
          <t>B1</t>
        </is>
      </c>
      <c r="AH7" s="7" t="inlineStr">
        <is>
          <t>T1</t>
        </is>
      </c>
      <c r="AI7" s="9" t="inlineStr">
        <is>
          <t>B2</t>
        </is>
      </c>
      <c r="AJ7" s="7" t="inlineStr">
        <is>
          <t>T1</t>
        </is>
      </c>
      <c r="AK7" s="8" t="n"/>
      <c r="AL7" s="9" t="inlineStr">
        <is>
          <t>T2</t>
        </is>
      </c>
      <c r="AM7" s="8" t="n"/>
      <c r="AN7" s="7" t="inlineStr">
        <is>
          <t>T1</t>
        </is>
      </c>
      <c r="AO7" s="7" t="inlineStr">
        <is>
          <t>B1</t>
        </is>
      </c>
      <c r="AP7" s="7" t="inlineStr">
        <is>
          <t>T1</t>
        </is>
      </c>
      <c r="AQ7" s="9" t="inlineStr">
        <is>
          <t>B2</t>
        </is>
      </c>
      <c r="AR7" s="11" t="inlineStr">
        <is>
          <t>T3</t>
        </is>
      </c>
      <c r="AS7" s="7" t="inlineStr">
        <is>
          <t>B1</t>
        </is>
      </c>
      <c r="AT7" s="7" t="inlineStr">
        <is>
          <t>T1</t>
        </is>
      </c>
      <c r="AU7" s="7" t="inlineStr">
        <is>
          <t>B1</t>
        </is>
      </c>
      <c r="AV7" s="7" t="inlineStr">
        <is>
          <t>T1</t>
        </is>
      </c>
      <c r="AW7" s="8" t="n"/>
      <c r="AX7" s="7" t="inlineStr">
        <is>
          <t>T1</t>
        </is>
      </c>
      <c r="AY7" s="8" t="n"/>
      <c r="AZ7" s="7" t="inlineStr">
        <is>
          <t>T1</t>
        </is>
      </c>
      <c r="BA7" s="9" t="inlineStr">
        <is>
          <t>B2</t>
        </is>
      </c>
      <c r="BB7" s="8" t="n"/>
    </row>
    <row r="8">
      <c r="A8" s="5" t="inlineStr">
        <is>
          <t>Setterwalls</t>
        </is>
      </c>
      <c r="B8" s="6" t="n">
        <v>155</v>
      </c>
      <c r="C8" s="6" t="n">
        <v>15</v>
      </c>
      <c r="D8" s="6" t="n">
        <v>21</v>
      </c>
      <c r="E8" s="11" t="inlineStr">
        <is>
          <t>B3</t>
        </is>
      </c>
      <c r="F8" s="9" t="inlineStr">
        <is>
          <t>T2</t>
        </is>
      </c>
      <c r="G8" s="9" t="inlineStr">
        <is>
          <t>B2</t>
        </is>
      </c>
      <c r="H8" s="8" t="n"/>
      <c r="I8" s="10" t="n"/>
      <c r="J8" s="8" t="n"/>
      <c r="K8" s="9" t="inlineStr">
        <is>
          <t>B2</t>
        </is>
      </c>
      <c r="L8" s="7" t="inlineStr">
        <is>
          <t>T1</t>
        </is>
      </c>
      <c r="M8" s="11" t="inlineStr">
        <is>
          <t>B3</t>
        </is>
      </c>
      <c r="N8" s="9" t="inlineStr">
        <is>
          <t>T2</t>
        </is>
      </c>
      <c r="O8" s="10" t="n"/>
      <c r="P8" s="9" t="inlineStr">
        <is>
          <t>T2</t>
        </is>
      </c>
      <c r="Q8" s="9" t="inlineStr">
        <is>
          <t>B2</t>
        </is>
      </c>
      <c r="R8" s="9" t="inlineStr">
        <is>
          <t>T2</t>
        </is>
      </c>
      <c r="S8" s="10" t="n"/>
      <c r="T8" s="11" t="inlineStr">
        <is>
          <t>T3</t>
        </is>
      </c>
      <c r="U8" s="10" t="n"/>
      <c r="V8" s="8" t="n"/>
      <c r="W8" s="11" t="inlineStr">
        <is>
          <t>B3</t>
        </is>
      </c>
      <c r="X8" s="9" t="inlineStr">
        <is>
          <t>T2</t>
        </is>
      </c>
      <c r="Y8" s="7" t="inlineStr">
        <is>
          <t>B1</t>
        </is>
      </c>
      <c r="Z8" s="9" t="inlineStr">
        <is>
          <t>T2</t>
        </is>
      </c>
      <c r="AA8" s="9" t="inlineStr">
        <is>
          <t>B2</t>
        </is>
      </c>
      <c r="AB8" s="9" t="inlineStr">
        <is>
          <t>T2</t>
        </is>
      </c>
      <c r="AC8" s="9" t="inlineStr">
        <is>
          <t>B2</t>
        </is>
      </c>
      <c r="AD8" s="7" t="inlineStr">
        <is>
          <t>T1</t>
        </is>
      </c>
      <c r="AE8" s="8" t="n"/>
      <c r="AF8" s="9" t="inlineStr">
        <is>
          <t>T2</t>
        </is>
      </c>
      <c r="AG8" s="9" t="inlineStr">
        <is>
          <t>B2</t>
        </is>
      </c>
      <c r="AH8" s="7" t="inlineStr">
        <is>
          <t>T1</t>
        </is>
      </c>
      <c r="AI8" s="7" t="inlineStr">
        <is>
          <t>B1</t>
        </is>
      </c>
      <c r="AJ8" s="7" t="inlineStr">
        <is>
          <t>T1</t>
        </is>
      </c>
      <c r="AK8" s="8" t="n"/>
      <c r="AL8" s="7" t="inlineStr">
        <is>
          <t>T1</t>
        </is>
      </c>
      <c r="AM8" s="8" t="n"/>
      <c r="AN8" s="7" t="inlineStr">
        <is>
          <t>T1</t>
        </is>
      </c>
      <c r="AO8" s="7" t="inlineStr">
        <is>
          <t>B1</t>
        </is>
      </c>
      <c r="AP8" s="7" t="inlineStr">
        <is>
          <t>T1</t>
        </is>
      </c>
      <c r="AQ8" s="7" t="inlineStr">
        <is>
          <t>B1</t>
        </is>
      </c>
      <c r="AR8" s="7" t="inlineStr">
        <is>
          <t>T1</t>
        </is>
      </c>
      <c r="AS8" s="7" t="inlineStr">
        <is>
          <t>B1</t>
        </is>
      </c>
      <c r="AT8" s="7" t="inlineStr">
        <is>
          <t>T1</t>
        </is>
      </c>
      <c r="AU8" s="11" t="inlineStr">
        <is>
          <t>B3</t>
        </is>
      </c>
      <c r="AV8" s="9" t="inlineStr">
        <is>
          <t>T2</t>
        </is>
      </c>
      <c r="AW8" s="8" t="n"/>
      <c r="AX8" s="7" t="inlineStr">
        <is>
          <t>T1</t>
        </is>
      </c>
      <c r="AY8" s="8" t="n"/>
      <c r="AZ8" s="7" t="inlineStr">
        <is>
          <t>T1</t>
        </is>
      </c>
      <c r="BA8" s="10" t="n"/>
      <c r="BB8" s="8" t="n"/>
    </row>
    <row r="9">
      <c r="A9" s="5" t="inlineStr">
        <is>
          <t>Roschier</t>
        </is>
      </c>
      <c r="B9" s="6" t="n">
        <v>121</v>
      </c>
      <c r="C9" s="6" t="n">
        <v>13</v>
      </c>
      <c r="D9" s="6" t="n">
        <v>16</v>
      </c>
      <c r="E9" s="7" t="inlineStr">
        <is>
          <t>B1</t>
        </is>
      </c>
      <c r="F9" s="7" t="inlineStr">
        <is>
          <t>T1</t>
        </is>
      </c>
      <c r="G9" s="7" t="inlineStr">
        <is>
          <t>B1</t>
        </is>
      </c>
      <c r="H9" s="8" t="n"/>
      <c r="I9" s="10" t="n"/>
      <c r="J9" s="8" t="n"/>
      <c r="K9" s="9" t="inlineStr">
        <is>
          <t>B2</t>
        </is>
      </c>
      <c r="L9" s="7" t="inlineStr">
        <is>
          <t>T1</t>
        </is>
      </c>
      <c r="M9" s="9" t="inlineStr">
        <is>
          <t>B2</t>
        </is>
      </c>
      <c r="N9" s="7" t="inlineStr">
        <is>
          <t>T1</t>
        </is>
      </c>
      <c r="O9" s="7" t="inlineStr">
        <is>
          <t>B1</t>
        </is>
      </c>
      <c r="P9" s="7" t="inlineStr">
        <is>
          <t>T1</t>
        </is>
      </c>
      <c r="Q9" s="9" t="inlineStr">
        <is>
          <t>B2</t>
        </is>
      </c>
      <c r="R9" s="9" t="inlineStr">
        <is>
          <t>T2</t>
        </is>
      </c>
      <c r="S9" s="7" t="inlineStr">
        <is>
          <t>B1</t>
        </is>
      </c>
      <c r="T9" s="7" t="inlineStr">
        <is>
          <t>T1</t>
        </is>
      </c>
      <c r="U9" s="10" t="n"/>
      <c r="V9" s="8" t="n"/>
      <c r="W9" s="9" t="inlineStr">
        <is>
          <t>B2</t>
        </is>
      </c>
      <c r="X9" s="7" t="inlineStr">
        <is>
          <t>T1</t>
        </is>
      </c>
      <c r="Y9" s="9" t="inlineStr">
        <is>
          <t>B2</t>
        </is>
      </c>
      <c r="Z9" s="9" t="inlineStr">
        <is>
          <t>T2</t>
        </is>
      </c>
      <c r="AA9" s="10" t="n"/>
      <c r="AB9" s="10" t="n"/>
      <c r="AC9" s="7" t="inlineStr">
        <is>
          <t>B1</t>
        </is>
      </c>
      <c r="AD9" s="7" t="inlineStr">
        <is>
          <t>T1</t>
        </is>
      </c>
      <c r="AE9" s="8" t="n"/>
      <c r="AF9" s="10" t="n"/>
      <c r="AG9" s="9" t="inlineStr">
        <is>
          <t>B2</t>
        </is>
      </c>
      <c r="AH9" s="9" t="inlineStr">
        <is>
          <t>T2</t>
        </is>
      </c>
      <c r="AI9" s="11" t="inlineStr">
        <is>
          <t>B3</t>
        </is>
      </c>
      <c r="AJ9" s="11" t="inlineStr">
        <is>
          <t>T3</t>
        </is>
      </c>
      <c r="AK9" s="8" t="n"/>
      <c r="AL9" s="9" t="inlineStr">
        <is>
          <t>T2</t>
        </is>
      </c>
      <c r="AM9" s="8" t="n"/>
      <c r="AN9" s="11" t="inlineStr">
        <is>
          <t>T3</t>
        </is>
      </c>
      <c r="AO9" s="11" t="inlineStr">
        <is>
          <t>B3</t>
        </is>
      </c>
      <c r="AP9" s="9" t="inlineStr">
        <is>
          <t>T2</t>
        </is>
      </c>
      <c r="AQ9" s="10" t="n"/>
      <c r="AR9" s="10" t="n"/>
      <c r="AS9" s="10" t="n"/>
      <c r="AT9" s="10" t="n"/>
      <c r="AU9" s="10" t="n"/>
      <c r="AV9" s="12" t="inlineStr">
        <is>
          <t>T4</t>
        </is>
      </c>
      <c r="AW9" s="8" t="n"/>
      <c r="AX9" s="11" t="inlineStr">
        <is>
          <t>T3</t>
        </is>
      </c>
      <c r="AY9" s="8" t="n"/>
      <c r="AZ9" s="10" t="n"/>
      <c r="BA9" s="10" t="n"/>
      <c r="BB9" s="8" t="n"/>
    </row>
    <row r="10">
      <c r="A10" s="5" t="inlineStr">
        <is>
          <t>Cederquist</t>
        </is>
      </c>
      <c r="B10" s="6" t="n">
        <v>102</v>
      </c>
      <c r="C10" s="6" t="n">
        <v>11</v>
      </c>
      <c r="D10" s="6" t="n">
        <v>17</v>
      </c>
      <c r="E10" s="11" t="inlineStr">
        <is>
          <t>B3</t>
        </is>
      </c>
      <c r="F10" s="9" t="inlineStr">
        <is>
          <t>T2</t>
        </is>
      </c>
      <c r="G10" s="11" t="inlineStr">
        <is>
          <t>B3</t>
        </is>
      </c>
      <c r="H10" s="8" t="n"/>
      <c r="I10" s="10" t="n"/>
      <c r="J10" s="8" t="n"/>
      <c r="K10" s="9" t="inlineStr">
        <is>
          <t>B2</t>
        </is>
      </c>
      <c r="L10" s="9" t="inlineStr">
        <is>
          <t>T2</t>
        </is>
      </c>
      <c r="M10" s="11" t="inlineStr">
        <is>
          <t>B3</t>
        </is>
      </c>
      <c r="N10" s="9" t="inlineStr">
        <is>
          <t>T2</t>
        </is>
      </c>
      <c r="O10" s="11" t="inlineStr">
        <is>
          <t>B3</t>
        </is>
      </c>
      <c r="P10" s="7" t="inlineStr">
        <is>
          <t>T1</t>
        </is>
      </c>
      <c r="Q10" s="9" t="inlineStr">
        <is>
          <t>B2</t>
        </is>
      </c>
      <c r="R10" s="9" t="inlineStr">
        <is>
          <t>T2</t>
        </is>
      </c>
      <c r="S10" s="9" t="inlineStr">
        <is>
          <t>B2</t>
        </is>
      </c>
      <c r="T10" s="11" t="inlineStr">
        <is>
          <t>T3</t>
        </is>
      </c>
      <c r="U10" s="10" t="n"/>
      <c r="V10" s="8" t="n"/>
      <c r="W10" s="11" t="inlineStr">
        <is>
          <t>B3</t>
        </is>
      </c>
      <c r="X10" s="9" t="inlineStr">
        <is>
          <t>T2</t>
        </is>
      </c>
      <c r="Y10" s="9" t="inlineStr">
        <is>
          <t>B2</t>
        </is>
      </c>
      <c r="Z10" s="9" t="inlineStr">
        <is>
          <t>T2</t>
        </is>
      </c>
      <c r="AA10" s="10" t="n"/>
      <c r="AB10" s="10" t="n"/>
      <c r="AC10" s="12" t="inlineStr">
        <is>
          <t>B4</t>
        </is>
      </c>
      <c r="AD10" s="11" t="inlineStr">
        <is>
          <t>T3</t>
        </is>
      </c>
      <c r="AE10" s="8" t="n"/>
      <c r="AF10" s="11" t="inlineStr">
        <is>
          <t>T3</t>
        </is>
      </c>
      <c r="AG10" s="10" t="n"/>
      <c r="AH10" s="9" t="inlineStr">
        <is>
          <t>T2</t>
        </is>
      </c>
      <c r="AI10" s="11" t="inlineStr">
        <is>
          <t>B3</t>
        </is>
      </c>
      <c r="AJ10" s="9" t="inlineStr">
        <is>
          <t>T2</t>
        </is>
      </c>
      <c r="AK10" s="8" t="n"/>
      <c r="AL10" s="7" t="inlineStr">
        <is>
          <t>T1</t>
        </is>
      </c>
      <c r="AM10" s="8" t="n"/>
      <c r="AN10" s="9" t="inlineStr">
        <is>
          <t>T2</t>
        </is>
      </c>
      <c r="AO10" s="10" t="n"/>
      <c r="AP10" s="10" t="n"/>
      <c r="AQ10" s="10" t="n"/>
      <c r="AR10" s="10" t="n"/>
      <c r="AS10" s="10" t="n"/>
      <c r="AT10" s="9" t="inlineStr">
        <is>
          <t>T2</t>
        </is>
      </c>
      <c r="AU10" s="10" t="n"/>
      <c r="AV10" s="11" t="inlineStr">
        <is>
          <t>T3</t>
        </is>
      </c>
      <c r="AW10" s="8" t="n"/>
      <c r="AX10" s="9" t="inlineStr">
        <is>
          <t>T2</t>
        </is>
      </c>
      <c r="AY10" s="8" t="n"/>
      <c r="AZ10" s="10" t="n"/>
      <c r="BA10" s="10" t="n"/>
      <c r="BB10" s="8" t="n"/>
    </row>
    <row r="11">
      <c r="A11" s="5" t="inlineStr">
        <is>
          <t>DLA Piper</t>
        </is>
      </c>
      <c r="B11" s="6" t="n">
        <v>99</v>
      </c>
      <c r="C11" s="6" t="n">
        <v>13</v>
      </c>
      <c r="D11" s="6" t="n">
        <v>19</v>
      </c>
      <c r="E11" s="11" t="inlineStr">
        <is>
          <t>B3</t>
        </is>
      </c>
      <c r="F11" s="11" t="inlineStr">
        <is>
          <t>T3</t>
        </is>
      </c>
      <c r="G11" s="11" t="inlineStr">
        <is>
          <t>B3</t>
        </is>
      </c>
      <c r="H11" s="8" t="n"/>
      <c r="I11" s="10" t="n"/>
      <c r="J11" s="8" t="n"/>
      <c r="K11" s="12" t="inlineStr">
        <is>
          <t>B4</t>
        </is>
      </c>
      <c r="L11" s="9" t="inlineStr">
        <is>
          <t>T2</t>
        </is>
      </c>
      <c r="M11" s="10" t="n"/>
      <c r="N11" s="12" t="inlineStr">
        <is>
          <t>T4</t>
        </is>
      </c>
      <c r="O11" s="10" t="n"/>
      <c r="P11" s="10" t="n"/>
      <c r="Q11" s="13" t="inlineStr">
        <is>
          <t>B5</t>
        </is>
      </c>
      <c r="R11" s="11" t="inlineStr">
        <is>
          <t>T3</t>
        </is>
      </c>
      <c r="S11" s="11" t="inlineStr">
        <is>
          <t>B3</t>
        </is>
      </c>
      <c r="T11" s="7" t="inlineStr">
        <is>
          <t>T1</t>
        </is>
      </c>
      <c r="U11" s="9" t="inlineStr">
        <is>
          <t>B2</t>
        </is>
      </c>
      <c r="V11" s="8" t="n"/>
      <c r="W11" s="12" t="inlineStr">
        <is>
          <t>B4</t>
        </is>
      </c>
      <c r="X11" s="11" t="inlineStr">
        <is>
          <t>T3</t>
        </is>
      </c>
      <c r="Y11" s="9" t="inlineStr">
        <is>
          <t>B2</t>
        </is>
      </c>
      <c r="Z11" s="9" t="inlineStr">
        <is>
          <t>T2</t>
        </is>
      </c>
      <c r="AA11" s="11" t="inlineStr">
        <is>
          <t>B3</t>
        </is>
      </c>
      <c r="AB11" s="9" t="inlineStr">
        <is>
          <t>T2</t>
        </is>
      </c>
      <c r="AC11" s="11" t="inlineStr">
        <is>
          <t>B3</t>
        </is>
      </c>
      <c r="AD11" s="9" t="inlineStr">
        <is>
          <t>T2</t>
        </is>
      </c>
      <c r="AE11" s="8" t="n"/>
      <c r="AF11" s="11" t="inlineStr">
        <is>
          <t>T3</t>
        </is>
      </c>
      <c r="AG11" s="10" t="n"/>
      <c r="AH11" s="12" t="inlineStr">
        <is>
          <t>T4</t>
        </is>
      </c>
      <c r="AI11" s="11" t="inlineStr">
        <is>
          <t>B3</t>
        </is>
      </c>
      <c r="AJ11" s="11" t="inlineStr">
        <is>
          <t>T3</t>
        </is>
      </c>
      <c r="AK11" s="8" t="n"/>
      <c r="AL11" s="11" t="inlineStr">
        <is>
          <t>T3</t>
        </is>
      </c>
      <c r="AM11" s="8" t="n"/>
      <c r="AN11" s="12" t="inlineStr">
        <is>
          <t>T4</t>
        </is>
      </c>
      <c r="AO11" s="9" t="inlineStr">
        <is>
          <t>B2</t>
        </is>
      </c>
      <c r="AP11" s="9" t="inlineStr">
        <is>
          <t>T2</t>
        </is>
      </c>
      <c r="AQ11" s="10" t="n"/>
      <c r="AR11" s="11" t="inlineStr">
        <is>
          <t>T3</t>
        </is>
      </c>
      <c r="AS11" s="9" t="inlineStr">
        <is>
          <t>B2</t>
        </is>
      </c>
      <c r="AT11" s="9" t="inlineStr">
        <is>
          <t>T2</t>
        </is>
      </c>
      <c r="AU11" s="10" t="n"/>
      <c r="AV11" s="12" t="inlineStr">
        <is>
          <t>T4</t>
        </is>
      </c>
      <c r="AW11" s="8" t="n"/>
      <c r="AX11" s="12" t="inlineStr">
        <is>
          <t>T4</t>
        </is>
      </c>
      <c r="AY11" s="8" t="n"/>
      <c r="AZ11" s="10" t="n"/>
      <c r="BA11" s="10" t="n"/>
      <c r="BB11" s="8" t="n"/>
    </row>
    <row r="12">
      <c r="A12" s="5" t="inlineStr">
        <is>
          <t>Cirio</t>
        </is>
      </c>
      <c r="B12" s="6" t="n">
        <v>82.5</v>
      </c>
      <c r="C12" s="6" t="n">
        <v>10</v>
      </c>
      <c r="D12" s="6" t="n">
        <v>16</v>
      </c>
      <c r="E12" s="12" t="inlineStr">
        <is>
          <t>B4</t>
        </is>
      </c>
      <c r="F12" s="11" t="inlineStr">
        <is>
          <t>T3</t>
        </is>
      </c>
      <c r="G12" s="12" t="inlineStr">
        <is>
          <t>B4</t>
        </is>
      </c>
      <c r="H12" s="8" t="n"/>
      <c r="I12" s="10" t="n"/>
      <c r="J12" s="8" t="n"/>
      <c r="K12" s="11" t="inlineStr">
        <is>
          <t>B3</t>
        </is>
      </c>
      <c r="L12" s="9" t="inlineStr">
        <is>
          <t>T2</t>
        </is>
      </c>
      <c r="M12" s="12" t="inlineStr">
        <is>
          <t>B4</t>
        </is>
      </c>
      <c r="N12" s="11" t="inlineStr">
        <is>
          <t>T3</t>
        </is>
      </c>
      <c r="O12" s="10" t="n"/>
      <c r="P12" s="11" t="inlineStr">
        <is>
          <t>T3</t>
        </is>
      </c>
      <c r="Q12" s="13" t="inlineStr">
        <is>
          <t>B5</t>
        </is>
      </c>
      <c r="R12" s="13" t="inlineStr">
        <is>
          <t>T5</t>
        </is>
      </c>
      <c r="S12" s="9" t="inlineStr">
        <is>
          <t>B2</t>
        </is>
      </c>
      <c r="T12" s="7" t="inlineStr">
        <is>
          <t>T1</t>
        </is>
      </c>
      <c r="U12" s="7" t="inlineStr">
        <is>
          <t>B1</t>
        </is>
      </c>
      <c r="V12" s="8" t="n"/>
      <c r="W12" s="10" t="n"/>
      <c r="X12" s="11" t="inlineStr">
        <is>
          <t>T3</t>
        </is>
      </c>
      <c r="Y12" s="10" t="n"/>
      <c r="Z12" s="10" t="inlineStr">
        <is>
          <t>FTW</t>
        </is>
      </c>
      <c r="AA12" s="10" t="n"/>
      <c r="AB12" s="10" t="n"/>
      <c r="AC12" s="12" t="inlineStr">
        <is>
          <t>B4</t>
        </is>
      </c>
      <c r="AD12" s="7" t="inlineStr">
        <is>
          <t>T1</t>
        </is>
      </c>
      <c r="AE12" s="8" t="n"/>
      <c r="AF12" s="10" t="n"/>
      <c r="AG12" s="10" t="n"/>
      <c r="AH12" s="13" t="inlineStr">
        <is>
          <t>T5</t>
        </is>
      </c>
      <c r="AI12" s="11" t="inlineStr">
        <is>
          <t>B3</t>
        </is>
      </c>
      <c r="AJ12" s="9" t="inlineStr">
        <is>
          <t>T2</t>
        </is>
      </c>
      <c r="AK12" s="8" t="n"/>
      <c r="AL12" s="7" t="inlineStr">
        <is>
          <t>T1</t>
        </is>
      </c>
      <c r="AM12" s="8" t="n"/>
      <c r="AN12" s="10" t="n"/>
      <c r="AO12" s="9" t="inlineStr">
        <is>
          <t>B2</t>
        </is>
      </c>
      <c r="AP12" s="7" t="inlineStr">
        <is>
          <t>T1</t>
        </is>
      </c>
      <c r="AQ12" s="10" t="n"/>
      <c r="AR12" s="10" t="n"/>
      <c r="AS12" s="10" t="n"/>
      <c r="AT12" s="10" t="n"/>
      <c r="AU12" s="10" t="n"/>
      <c r="AV12" s="9" t="inlineStr">
        <is>
          <t>T2</t>
        </is>
      </c>
      <c r="AW12" s="8" t="n"/>
      <c r="AX12" s="7" t="inlineStr">
        <is>
          <t>T1</t>
        </is>
      </c>
      <c r="AY12" s="8" t="n"/>
      <c r="AZ12" s="11" t="inlineStr">
        <is>
          <t>T3</t>
        </is>
      </c>
      <c r="BA12" s="10" t="n"/>
      <c r="BB12" s="8" t="n"/>
    </row>
    <row r="13">
      <c r="A13" s="14" t="inlineStr">
        <is>
          <t>Lindahl</t>
        </is>
      </c>
      <c r="B13" s="15" t="n">
        <v>82</v>
      </c>
      <c r="C13" s="15" t="n">
        <v>12</v>
      </c>
      <c r="D13" s="15" t="n">
        <v>17</v>
      </c>
      <c r="E13" s="16" t="inlineStr">
        <is>
          <t>B4</t>
        </is>
      </c>
      <c r="F13" s="17" t="inlineStr">
        <is>
          <t>T3</t>
        </is>
      </c>
      <c r="G13" s="16" t="inlineStr">
        <is>
          <t>B4</t>
        </is>
      </c>
      <c r="H13" s="18" t="n"/>
      <c r="I13" s="19" t="n"/>
      <c r="J13" s="18" t="n"/>
      <c r="K13" s="16" t="inlineStr">
        <is>
          <t>B4</t>
        </is>
      </c>
      <c r="L13" s="17" t="inlineStr">
        <is>
          <t>T3</t>
        </is>
      </c>
      <c r="M13" s="16" t="inlineStr">
        <is>
          <t>B4</t>
        </is>
      </c>
      <c r="N13" s="17" t="inlineStr">
        <is>
          <t>T3</t>
        </is>
      </c>
      <c r="O13" s="19" t="n"/>
      <c r="P13" s="19" t="n"/>
      <c r="Q13" s="20" t="inlineStr">
        <is>
          <t>B5</t>
        </is>
      </c>
      <c r="R13" s="20" t="inlineStr">
        <is>
          <t>T5</t>
        </is>
      </c>
      <c r="S13" s="19" t="n"/>
      <c r="T13" s="19" t="n"/>
      <c r="U13" s="19" t="n"/>
      <c r="V13" s="18" t="n"/>
      <c r="W13" s="19" t="n"/>
      <c r="X13" s="19" t="n"/>
      <c r="Y13" s="17" t="inlineStr">
        <is>
          <t>B3</t>
        </is>
      </c>
      <c r="Z13" s="21" t="inlineStr">
        <is>
          <t>T2</t>
        </is>
      </c>
      <c r="AA13" s="19" t="n"/>
      <c r="AB13" s="21" t="inlineStr">
        <is>
          <t>T2</t>
        </is>
      </c>
      <c r="AC13" s="16" t="inlineStr">
        <is>
          <t>B4</t>
        </is>
      </c>
      <c r="AD13" s="22" t="inlineStr">
        <is>
          <t>T1</t>
        </is>
      </c>
      <c r="AE13" s="18" t="n"/>
      <c r="AF13" s="17" t="inlineStr">
        <is>
          <t>T3</t>
        </is>
      </c>
      <c r="AG13" s="16" t="inlineStr">
        <is>
          <t>B4</t>
        </is>
      </c>
      <c r="AH13" s="17" t="inlineStr">
        <is>
          <t>T3</t>
        </is>
      </c>
      <c r="AI13" s="19" t="n"/>
      <c r="AJ13" s="17" t="inlineStr">
        <is>
          <t>T3</t>
        </is>
      </c>
      <c r="AK13" s="18" t="n"/>
      <c r="AL13" s="17" t="inlineStr">
        <is>
          <t>T3</t>
        </is>
      </c>
      <c r="AM13" s="18" t="n"/>
      <c r="AN13" s="19" t="n"/>
      <c r="AO13" s="17" t="inlineStr">
        <is>
          <t>B3</t>
        </is>
      </c>
      <c r="AP13" s="21" t="inlineStr">
        <is>
          <t>T2</t>
        </is>
      </c>
      <c r="AQ13" s="17" t="inlineStr">
        <is>
          <t>B3</t>
        </is>
      </c>
      <c r="AR13" s="21" t="inlineStr">
        <is>
          <t>T2</t>
        </is>
      </c>
      <c r="AS13" s="17" t="inlineStr">
        <is>
          <t>B3</t>
        </is>
      </c>
      <c r="AT13" s="17" t="inlineStr">
        <is>
          <t>T3</t>
        </is>
      </c>
      <c r="AU13" s="16" t="inlineStr">
        <is>
          <t>B4</t>
        </is>
      </c>
      <c r="AV13" s="17" t="inlineStr">
        <is>
          <t>T3</t>
        </is>
      </c>
      <c r="AW13" s="18" t="n"/>
      <c r="AX13" s="17" t="inlineStr">
        <is>
          <t>T3</t>
        </is>
      </c>
      <c r="AY13" s="18" t="n"/>
      <c r="AZ13" s="17" t="inlineStr">
        <is>
          <t>T3</t>
        </is>
      </c>
      <c r="BA13" s="19" t="n"/>
      <c r="BB13" s="23" t="n"/>
    </row>
    <row r="14">
      <c r="A14" s="24" t="inlineStr">
        <is>
          <t>Delphi</t>
        </is>
      </c>
      <c r="B14" s="6" t="n">
        <v>74</v>
      </c>
      <c r="C14" s="6" t="n">
        <v>8</v>
      </c>
      <c r="D14" s="6" t="n">
        <v>15</v>
      </c>
      <c r="E14" s="13" t="inlineStr">
        <is>
          <t>B5</t>
        </is>
      </c>
      <c r="F14" s="11" t="inlineStr">
        <is>
          <t>T3</t>
        </is>
      </c>
      <c r="G14" s="12" t="inlineStr">
        <is>
          <t>B4</t>
        </is>
      </c>
      <c r="H14" s="8" t="n"/>
      <c r="I14" s="10" t="n"/>
      <c r="J14" s="8" t="n"/>
      <c r="K14" s="10" t="n"/>
      <c r="L14" s="10" t="n"/>
      <c r="M14" s="10" t="n"/>
      <c r="N14" s="12" t="inlineStr">
        <is>
          <t>T4</t>
        </is>
      </c>
      <c r="O14" s="10" t="n"/>
      <c r="P14" s="10" t="n"/>
      <c r="Q14" s="11" t="inlineStr">
        <is>
          <t>B3</t>
        </is>
      </c>
      <c r="R14" s="9" t="inlineStr">
        <is>
          <t>T2</t>
        </is>
      </c>
      <c r="S14" s="10" t="n"/>
      <c r="T14" s="10" t="n"/>
      <c r="U14" s="10" t="n"/>
      <c r="V14" s="8" t="n"/>
      <c r="W14" s="9" t="inlineStr">
        <is>
          <t>B2</t>
        </is>
      </c>
      <c r="X14" s="9" t="inlineStr">
        <is>
          <t>T2</t>
        </is>
      </c>
      <c r="Y14" s="12" t="inlineStr">
        <is>
          <t>B4</t>
        </is>
      </c>
      <c r="Z14" s="12" t="inlineStr">
        <is>
          <t>T4</t>
        </is>
      </c>
      <c r="AA14" s="10" t="n"/>
      <c r="AB14" s="10" t="n"/>
      <c r="AC14" s="10" t="n"/>
      <c r="AD14" s="11" t="inlineStr">
        <is>
          <t>T3</t>
        </is>
      </c>
      <c r="AE14" s="8" t="n"/>
      <c r="AF14" s="11" t="inlineStr">
        <is>
          <t>T3</t>
        </is>
      </c>
      <c r="AG14" s="11" t="inlineStr">
        <is>
          <t>B3</t>
        </is>
      </c>
      <c r="AH14" s="9" t="inlineStr">
        <is>
          <t>T2</t>
        </is>
      </c>
      <c r="AI14" s="9" t="inlineStr">
        <is>
          <t>B2</t>
        </is>
      </c>
      <c r="AJ14" s="7" t="inlineStr">
        <is>
          <t>T1</t>
        </is>
      </c>
      <c r="AK14" s="8" t="n"/>
      <c r="AL14" s="7" t="inlineStr">
        <is>
          <t>T1</t>
        </is>
      </c>
      <c r="AM14" s="8" t="n"/>
      <c r="AN14" s="11" t="inlineStr">
        <is>
          <t>T3</t>
        </is>
      </c>
      <c r="AO14" s="10" t="n"/>
      <c r="AP14" s="10" t="n"/>
      <c r="AQ14" s="9" t="inlineStr">
        <is>
          <t>B2</t>
        </is>
      </c>
      <c r="AR14" s="9" t="inlineStr">
        <is>
          <t>T2</t>
        </is>
      </c>
      <c r="AS14" s="10" t="n"/>
      <c r="AT14" s="11" t="inlineStr">
        <is>
          <t>T3</t>
        </is>
      </c>
      <c r="AU14" s="10" t="n"/>
      <c r="AV14" s="12" t="inlineStr">
        <is>
          <t>T4</t>
        </is>
      </c>
      <c r="AW14" s="8" t="n"/>
      <c r="AX14" s="9" t="inlineStr">
        <is>
          <t>T2</t>
        </is>
      </c>
      <c r="AY14" s="8" t="n"/>
      <c r="AZ14" s="10" t="n"/>
      <c r="BA14" s="10" t="n"/>
      <c r="BB14" s="25" t="n"/>
    </row>
    <row r="15">
      <c r="A15" s="26" t="inlineStr">
        <is>
          <t>Magnusson</t>
        </is>
      </c>
      <c r="B15" s="27" t="n">
        <v>48</v>
      </c>
      <c r="C15" s="27" t="n">
        <v>3</v>
      </c>
      <c r="D15" s="27" t="n">
        <v>15</v>
      </c>
      <c r="E15" s="28" t="n"/>
      <c r="F15" s="29" t="inlineStr">
        <is>
          <t>T4</t>
        </is>
      </c>
      <c r="G15" s="28" t="n"/>
      <c r="H15" s="30" t="n"/>
      <c r="I15" s="28" t="n"/>
      <c r="J15" s="30" t="n"/>
      <c r="K15" s="28" t="n"/>
      <c r="L15" s="31" t="inlineStr">
        <is>
          <t>T3</t>
        </is>
      </c>
      <c r="M15" s="28" t="n"/>
      <c r="N15" s="28" t="n"/>
      <c r="O15" s="28" t="n"/>
      <c r="P15" s="28" t="n"/>
      <c r="Q15" s="32" t="inlineStr">
        <is>
          <t>B5</t>
        </is>
      </c>
      <c r="R15" s="32" t="inlineStr">
        <is>
          <t>T5</t>
        </is>
      </c>
      <c r="S15" s="28" t="n"/>
      <c r="T15" s="28" t="n"/>
      <c r="U15" s="28" t="n"/>
      <c r="V15" s="30" t="n"/>
      <c r="W15" s="28" t="n"/>
      <c r="X15" s="29" t="inlineStr">
        <is>
          <t>T4</t>
        </is>
      </c>
      <c r="Y15" s="28" t="n"/>
      <c r="Z15" s="31" t="inlineStr">
        <is>
          <t>T3</t>
        </is>
      </c>
      <c r="AA15" s="28" t="n"/>
      <c r="AB15" s="28" t="n"/>
      <c r="AC15" s="28" t="n"/>
      <c r="AD15" s="29" t="inlineStr">
        <is>
          <t>T4</t>
        </is>
      </c>
      <c r="AE15" s="30" t="n"/>
      <c r="AF15" s="31" t="inlineStr">
        <is>
          <t>T3</t>
        </is>
      </c>
      <c r="AG15" s="28" t="n"/>
      <c r="AH15" s="29" t="inlineStr">
        <is>
          <t>T4</t>
        </is>
      </c>
      <c r="AI15" s="28" t="n"/>
      <c r="AJ15" s="31" t="inlineStr">
        <is>
          <t>T3</t>
        </is>
      </c>
      <c r="AK15" s="30" t="n"/>
      <c r="AL15" s="31" t="inlineStr">
        <is>
          <t>T3</t>
        </is>
      </c>
      <c r="AM15" s="30" t="n"/>
      <c r="AN15" s="29" t="inlineStr">
        <is>
          <t>T4</t>
        </is>
      </c>
      <c r="AO15" s="28" t="n"/>
      <c r="AP15" s="28" t="n"/>
      <c r="AQ15" s="28" t="n"/>
      <c r="AR15" s="33" t="inlineStr">
        <is>
          <t>T2</t>
        </is>
      </c>
      <c r="AS15" s="33" t="inlineStr">
        <is>
          <t>B2</t>
        </is>
      </c>
      <c r="AT15" s="34" t="inlineStr">
        <is>
          <t>T1</t>
        </is>
      </c>
      <c r="AU15" s="29" t="inlineStr">
        <is>
          <t>B4</t>
        </is>
      </c>
      <c r="AV15" s="31" t="inlineStr">
        <is>
          <t>T3</t>
        </is>
      </c>
      <c r="AW15" s="30" t="n"/>
      <c r="AX15" s="31" t="inlineStr">
        <is>
          <t>T3</t>
        </is>
      </c>
      <c r="AY15" s="30" t="n"/>
      <c r="AZ15" s="28" t="n"/>
      <c r="BA15" s="28" t="n"/>
      <c r="BB15" s="35" t="n"/>
    </row>
    <row r="16">
      <c r="A16" s="5" t="inlineStr">
        <is>
          <t>Gernandt &amp; Danielsson</t>
        </is>
      </c>
      <c r="B16" s="6" t="n">
        <v>76</v>
      </c>
      <c r="C16" s="6" t="n">
        <v>8</v>
      </c>
      <c r="D16" s="6" t="n">
        <v>11</v>
      </c>
      <c r="E16" s="9" t="inlineStr">
        <is>
          <t>B2</t>
        </is>
      </c>
      <c r="F16" s="7" t="inlineStr">
        <is>
          <t>T1</t>
        </is>
      </c>
      <c r="G16" s="9" t="inlineStr">
        <is>
          <t>B2</t>
        </is>
      </c>
      <c r="H16" s="8" t="n"/>
      <c r="I16" s="10" t="n"/>
      <c r="J16" s="8" t="n"/>
      <c r="K16" s="11" t="inlineStr">
        <is>
          <t>B3</t>
        </is>
      </c>
      <c r="L16" s="7" t="inlineStr">
        <is>
          <t>T1</t>
        </is>
      </c>
      <c r="M16" s="7" t="inlineStr">
        <is>
          <t>B1</t>
        </is>
      </c>
      <c r="N16" s="7" t="inlineStr">
        <is>
          <t>T1</t>
        </is>
      </c>
      <c r="O16" s="7" t="inlineStr">
        <is>
          <t>B1</t>
        </is>
      </c>
      <c r="P16" s="7" t="inlineStr">
        <is>
          <t>T1</t>
        </is>
      </c>
      <c r="Q16" s="9" t="inlineStr">
        <is>
          <t>B2</t>
        </is>
      </c>
      <c r="R16" s="9" t="inlineStr">
        <is>
          <t>T2</t>
        </is>
      </c>
      <c r="S16" s="7" t="inlineStr">
        <is>
          <t>B1</t>
        </is>
      </c>
      <c r="T16" s="7" t="inlineStr">
        <is>
          <t>T1</t>
        </is>
      </c>
      <c r="U16" s="10" t="n"/>
      <c r="V16" s="8" t="n"/>
      <c r="W16" s="10" t="n"/>
      <c r="X16" s="12" t="inlineStr">
        <is>
          <t>T4</t>
        </is>
      </c>
      <c r="Y16" s="10" t="n"/>
      <c r="Z16" s="12" t="inlineStr">
        <is>
          <t>T4</t>
        </is>
      </c>
      <c r="AA16" s="10" t="n"/>
      <c r="AB16" s="10" t="n"/>
      <c r="AC16" s="11" t="inlineStr">
        <is>
          <t>B3</t>
        </is>
      </c>
      <c r="AD16" s="11" t="inlineStr">
        <is>
          <t>T3</t>
        </is>
      </c>
      <c r="AE16" s="8" t="n"/>
      <c r="AF16" s="10" t="n"/>
      <c r="AG16" s="10" t="n"/>
      <c r="AH16" s="10" t="n"/>
      <c r="AI16" s="10" t="n"/>
      <c r="AJ16" s="10" t="n"/>
      <c r="AK16" s="8" t="n"/>
      <c r="AL16" s="11" t="inlineStr">
        <is>
          <t>T3</t>
        </is>
      </c>
      <c r="AM16" s="8" t="n"/>
      <c r="AN16" s="9" t="inlineStr">
        <is>
          <t>T2</t>
        </is>
      </c>
      <c r="AO16" s="10" t="n"/>
      <c r="AP16" s="10" t="n"/>
      <c r="AQ16" s="10" t="n"/>
      <c r="AR16" s="10" t="n"/>
      <c r="AS16" s="10" t="n"/>
      <c r="AT16" s="10" t="n"/>
      <c r="AU16" s="10" t="n"/>
      <c r="AV16" s="10" t="n"/>
      <c r="AW16" s="8" t="n"/>
      <c r="AX16" s="10" t="n"/>
      <c r="AY16" s="8" t="n"/>
      <c r="AZ16" s="10" t="n"/>
      <c r="BA16" s="10" t="n"/>
      <c r="BB16" s="8" t="n"/>
    </row>
    <row r="17">
      <c r="A17" s="5" t="inlineStr">
        <is>
          <t>CMS Wistrand</t>
        </is>
      </c>
      <c r="B17" s="6" t="n">
        <v>74.5</v>
      </c>
      <c r="C17" s="6" t="n">
        <v>8</v>
      </c>
      <c r="D17" s="6" t="n">
        <v>16</v>
      </c>
      <c r="E17" s="12" t="inlineStr">
        <is>
          <t>B4</t>
        </is>
      </c>
      <c r="F17" s="11" t="inlineStr">
        <is>
          <t>T3</t>
        </is>
      </c>
      <c r="G17" s="10" t="n"/>
      <c r="H17" s="8" t="n"/>
      <c r="I17" s="10" t="n"/>
      <c r="J17" s="8" t="n"/>
      <c r="K17" s="12" t="inlineStr">
        <is>
          <t>B4</t>
        </is>
      </c>
      <c r="L17" s="11" t="inlineStr">
        <is>
          <t>T3</t>
        </is>
      </c>
      <c r="M17" s="10" t="n"/>
      <c r="N17" s="10" t="n"/>
      <c r="O17" s="10" t="n"/>
      <c r="P17" s="10" t="n"/>
      <c r="Q17" s="11" t="inlineStr">
        <is>
          <t>B3</t>
        </is>
      </c>
      <c r="R17" s="11" t="inlineStr">
        <is>
          <t>T3</t>
        </is>
      </c>
      <c r="S17" s="11" t="inlineStr">
        <is>
          <t>B3</t>
        </is>
      </c>
      <c r="T17" s="7" t="inlineStr">
        <is>
          <t>T1</t>
        </is>
      </c>
      <c r="U17" s="9" t="inlineStr">
        <is>
          <t>B2</t>
        </is>
      </c>
      <c r="V17" s="8" t="n"/>
      <c r="W17" s="10" t="n"/>
      <c r="X17" s="10" t="n"/>
      <c r="Y17" s="10" t="n"/>
      <c r="Z17" s="11" t="inlineStr">
        <is>
          <t>T3</t>
        </is>
      </c>
      <c r="AA17" s="9" t="inlineStr">
        <is>
          <t>B2</t>
        </is>
      </c>
      <c r="AB17" s="9" t="inlineStr">
        <is>
          <t>T2</t>
        </is>
      </c>
      <c r="AC17" s="9" t="inlineStr">
        <is>
          <t>B2</t>
        </is>
      </c>
      <c r="AD17" s="9" t="inlineStr">
        <is>
          <t>T2</t>
        </is>
      </c>
      <c r="AE17" s="8" t="n"/>
      <c r="AF17" s="11" t="inlineStr">
        <is>
          <t>T3</t>
        </is>
      </c>
      <c r="AG17" s="10" t="n"/>
      <c r="AH17" s="12" t="inlineStr">
        <is>
          <t>T4</t>
        </is>
      </c>
      <c r="AI17" s="10" t="n"/>
      <c r="AJ17" s="11" t="inlineStr">
        <is>
          <t>T3</t>
        </is>
      </c>
      <c r="AK17" s="8" t="n"/>
      <c r="AL17" s="10" t="inlineStr">
        <is>
          <t>FTW</t>
        </is>
      </c>
      <c r="AM17" s="8" t="n"/>
      <c r="AN17" s="10" t="n"/>
      <c r="AO17" s="10" t="n"/>
      <c r="AP17" s="11" t="inlineStr">
        <is>
          <t>T3</t>
        </is>
      </c>
      <c r="AQ17" s="10" t="n"/>
      <c r="AR17" s="11" t="inlineStr">
        <is>
          <t>T3</t>
        </is>
      </c>
      <c r="AS17" s="11" t="inlineStr">
        <is>
          <t>B3</t>
        </is>
      </c>
      <c r="AT17" s="9" t="inlineStr">
        <is>
          <t>T2</t>
        </is>
      </c>
      <c r="AU17" s="10" t="n"/>
      <c r="AV17" s="10" t="n"/>
      <c r="AW17" s="8" t="n"/>
      <c r="AX17" s="12" t="inlineStr">
        <is>
          <t>T4</t>
        </is>
      </c>
      <c r="AY17" s="8" t="n"/>
      <c r="AZ17" s="9" t="inlineStr">
        <is>
          <t>T2</t>
        </is>
      </c>
      <c r="BA17" s="10" t="n"/>
      <c r="BB17" s="8" t="n"/>
    </row>
    <row r="18">
      <c r="A18" s="5" t="inlineStr">
        <is>
          <t>Snellman</t>
        </is>
      </c>
      <c r="B18" s="6" t="n">
        <v>74</v>
      </c>
      <c r="C18" s="6" t="n">
        <v>9</v>
      </c>
      <c r="D18" s="6" t="n">
        <v>15</v>
      </c>
      <c r="E18" s="11" t="inlineStr">
        <is>
          <t>B3</t>
        </is>
      </c>
      <c r="F18" s="9" t="inlineStr">
        <is>
          <t>T2</t>
        </is>
      </c>
      <c r="G18" s="11" t="inlineStr">
        <is>
          <t>B3</t>
        </is>
      </c>
      <c r="H18" s="8" t="n"/>
      <c r="I18" s="10" t="n"/>
      <c r="J18" s="8" t="n"/>
      <c r="K18" s="12" t="inlineStr">
        <is>
          <t>B4</t>
        </is>
      </c>
      <c r="L18" s="9" t="inlineStr">
        <is>
          <t>T2</t>
        </is>
      </c>
      <c r="M18" s="11" t="inlineStr">
        <is>
          <t>B3</t>
        </is>
      </c>
      <c r="N18" s="9" t="inlineStr">
        <is>
          <t>T2</t>
        </is>
      </c>
      <c r="O18" s="10" t="n"/>
      <c r="P18" s="9" t="inlineStr">
        <is>
          <t>T2</t>
        </is>
      </c>
      <c r="Q18" s="11" t="inlineStr">
        <is>
          <t>B3</t>
        </is>
      </c>
      <c r="R18" s="11" t="inlineStr">
        <is>
          <t>T3</t>
        </is>
      </c>
      <c r="S18" s="10" t="n"/>
      <c r="T18" s="11" t="inlineStr">
        <is>
          <t>T3</t>
        </is>
      </c>
      <c r="U18" s="10" t="n"/>
      <c r="V18" s="8" t="n"/>
      <c r="W18" s="12" t="inlineStr">
        <is>
          <t>B4</t>
        </is>
      </c>
      <c r="X18" s="11" t="inlineStr">
        <is>
          <t>T3</t>
        </is>
      </c>
      <c r="Y18" s="12" t="inlineStr">
        <is>
          <t>B4</t>
        </is>
      </c>
      <c r="Z18" s="12" t="inlineStr">
        <is>
          <t>T4</t>
        </is>
      </c>
      <c r="AA18" s="10" t="n"/>
      <c r="AB18" s="10" t="n"/>
      <c r="AC18" s="10" t="n"/>
      <c r="AD18" s="11" t="inlineStr">
        <is>
          <t>T3</t>
        </is>
      </c>
      <c r="AE18" s="8" t="n"/>
      <c r="AF18" s="12" t="inlineStr">
        <is>
          <t>T4</t>
        </is>
      </c>
      <c r="AG18" s="10" t="n"/>
      <c r="AH18" s="13" t="inlineStr">
        <is>
          <t>T5</t>
        </is>
      </c>
      <c r="AI18" s="9" t="inlineStr">
        <is>
          <t>B2</t>
        </is>
      </c>
      <c r="AJ18" s="9" t="inlineStr">
        <is>
          <t>T2</t>
        </is>
      </c>
      <c r="AK18" s="8" t="n"/>
      <c r="AL18" s="9" t="inlineStr">
        <is>
          <t>T2</t>
        </is>
      </c>
      <c r="AM18" s="8" t="n"/>
      <c r="AN18" s="11" t="inlineStr">
        <is>
          <t>T3</t>
        </is>
      </c>
      <c r="AO18" s="10" t="n"/>
      <c r="AP18" s="10" t="n"/>
      <c r="AQ18" s="10" t="n"/>
      <c r="AR18" s="10" t="n"/>
      <c r="AS18" s="10" t="n"/>
      <c r="AT18" s="10" t="n"/>
      <c r="AU18" s="9" t="inlineStr">
        <is>
          <t>B2</t>
        </is>
      </c>
      <c r="AV18" s="9" t="inlineStr">
        <is>
          <t>T2</t>
        </is>
      </c>
      <c r="AW18" s="8" t="n"/>
      <c r="AX18" s="10" t="n"/>
      <c r="AY18" s="8" t="n"/>
      <c r="AZ18" s="10" t="n"/>
      <c r="BA18" s="10" t="n"/>
      <c r="BB18" s="8" t="n"/>
    </row>
    <row r="19">
      <c r="A19" s="5" t="inlineStr">
        <is>
          <t>Schjødt</t>
        </is>
      </c>
      <c r="B19" s="6" t="n">
        <v>61.5</v>
      </c>
      <c r="C19" s="6" t="n">
        <v>12</v>
      </c>
      <c r="D19" s="6" t="n">
        <v>12</v>
      </c>
      <c r="E19" s="12" t="inlineStr">
        <is>
          <t>B4</t>
        </is>
      </c>
      <c r="F19" s="13" t="inlineStr">
        <is>
          <t>T5</t>
        </is>
      </c>
      <c r="G19" s="12" t="inlineStr">
        <is>
          <t>B4</t>
        </is>
      </c>
      <c r="H19" s="8" t="n"/>
      <c r="I19" s="10" t="n"/>
      <c r="J19" s="8" t="n"/>
      <c r="K19" s="12" t="inlineStr">
        <is>
          <t>B4</t>
        </is>
      </c>
      <c r="L19" s="11" t="inlineStr">
        <is>
          <t>T3</t>
        </is>
      </c>
      <c r="M19" s="11" t="inlineStr">
        <is>
          <t>B3</t>
        </is>
      </c>
      <c r="N19" s="12" t="inlineStr">
        <is>
          <t>T4</t>
        </is>
      </c>
      <c r="O19" s="10" t="n"/>
      <c r="P19" s="10" t="n"/>
      <c r="Q19" s="12" t="inlineStr">
        <is>
          <t>B4</t>
        </is>
      </c>
      <c r="R19" s="12" t="inlineStr">
        <is>
          <t>T4</t>
        </is>
      </c>
      <c r="S19" s="11" t="inlineStr">
        <is>
          <t>B3</t>
        </is>
      </c>
      <c r="T19" s="9" t="inlineStr">
        <is>
          <t>T2</t>
        </is>
      </c>
      <c r="U19" s="7" t="inlineStr">
        <is>
          <t>B1</t>
        </is>
      </c>
      <c r="V19" s="8" t="n"/>
      <c r="W19" s="12" t="inlineStr">
        <is>
          <t>B4</t>
        </is>
      </c>
      <c r="X19" s="12" t="inlineStr">
        <is>
          <t>T4</t>
        </is>
      </c>
      <c r="Y19" s="12" t="inlineStr">
        <is>
          <t>B4</t>
        </is>
      </c>
      <c r="Z19" s="10" t="inlineStr">
        <is>
          <t>FTW</t>
        </is>
      </c>
      <c r="AA19" s="11" t="inlineStr">
        <is>
          <t>B3</t>
        </is>
      </c>
      <c r="AB19" s="9" t="inlineStr">
        <is>
          <t>T2</t>
        </is>
      </c>
      <c r="AC19" s="12" t="inlineStr">
        <is>
          <t>B4</t>
        </is>
      </c>
      <c r="AD19" s="11" t="inlineStr">
        <is>
          <t>T3</t>
        </is>
      </c>
      <c r="AE19" s="8" t="n"/>
      <c r="AF19" s="10" t="n"/>
      <c r="AG19" s="10" t="n"/>
      <c r="AH19" s="11" t="inlineStr">
        <is>
          <t>T3</t>
        </is>
      </c>
      <c r="AI19" s="10" t="n"/>
      <c r="AJ19" s="12" t="inlineStr">
        <is>
          <t>T4</t>
        </is>
      </c>
      <c r="AK19" s="8" t="n"/>
      <c r="AL19" s="10" t="n"/>
      <c r="AM19" s="8" t="n"/>
      <c r="AN19" s="10" t="n"/>
      <c r="AO19" s="10" t="n"/>
      <c r="AP19" s="10" t="n"/>
      <c r="AQ19" s="10" t="n"/>
      <c r="AR19" s="10" t="n"/>
      <c r="AS19" s="10" t="n"/>
      <c r="AT19" s="10" t="n"/>
      <c r="AU19" s="11" t="inlineStr">
        <is>
          <t>B3</t>
        </is>
      </c>
      <c r="AV19" s="9" t="inlineStr">
        <is>
          <t>T2</t>
        </is>
      </c>
      <c r="AW19" s="8" t="n"/>
      <c r="AX19" s="10" t="n"/>
      <c r="AY19" s="8" t="n"/>
      <c r="AZ19" s="10" t="n"/>
      <c r="BA19" s="10" t="n"/>
      <c r="BB19" s="8" t="n"/>
    </row>
    <row r="20">
      <c r="A20" s="5" t="inlineStr">
        <is>
          <t>White &amp; Case</t>
        </is>
      </c>
      <c r="B20" s="6" t="n">
        <v>45</v>
      </c>
      <c r="C20" s="6" t="n">
        <v>6</v>
      </c>
      <c r="D20" s="6" t="n">
        <v>6</v>
      </c>
      <c r="E20" s="11" t="inlineStr">
        <is>
          <t>B3</t>
        </is>
      </c>
      <c r="F20" s="11" t="inlineStr">
        <is>
          <t>T3</t>
        </is>
      </c>
      <c r="G20" s="7" t="inlineStr">
        <is>
          <t>B1</t>
        </is>
      </c>
      <c r="H20" s="8" t="n"/>
      <c r="I20" s="10" t="n"/>
      <c r="J20" s="8" t="n"/>
      <c r="K20" s="9" t="inlineStr">
        <is>
          <t>B2</t>
        </is>
      </c>
      <c r="L20" s="11" t="inlineStr">
        <is>
          <t>T3</t>
        </is>
      </c>
      <c r="M20" s="9" t="inlineStr">
        <is>
          <t>B2</t>
        </is>
      </c>
      <c r="N20" s="7" t="inlineStr">
        <is>
          <t>T1</t>
        </is>
      </c>
      <c r="O20" s="9" t="inlineStr">
        <is>
          <t>B2</t>
        </is>
      </c>
      <c r="P20" s="9" t="inlineStr">
        <is>
          <t>T2</t>
        </is>
      </c>
      <c r="Q20" s="9" t="inlineStr">
        <is>
          <t>B2</t>
        </is>
      </c>
      <c r="R20" s="11" t="inlineStr">
        <is>
          <t>T3</t>
        </is>
      </c>
      <c r="S20" s="10" t="n"/>
      <c r="T20" s="10" t="n"/>
      <c r="U20" s="10" t="n"/>
      <c r="V20" s="8" t="n"/>
      <c r="W20" s="10" t="n"/>
      <c r="X20" s="10" t="n"/>
      <c r="Y20" s="10" t="n"/>
      <c r="Z20" s="10" t="n"/>
      <c r="AA20" s="10" t="n"/>
      <c r="AB20" s="10" t="n"/>
      <c r="AC20" s="10" t="n"/>
      <c r="AD20" s="10" t="n"/>
      <c r="AE20" s="8" t="n"/>
      <c r="AF20" s="11" t="inlineStr">
        <is>
          <t>T3</t>
        </is>
      </c>
      <c r="AG20" s="10" t="n"/>
      <c r="AH20" s="10" t="n"/>
      <c r="AI20" s="10" t="n"/>
      <c r="AJ20" s="10" t="n"/>
      <c r="AK20" s="8" t="n"/>
      <c r="AL20" s="10" t="n"/>
      <c r="AM20" s="8" t="n"/>
      <c r="AN20" s="10" t="n"/>
      <c r="AO20" s="10" t="n"/>
      <c r="AP20" s="10" t="n"/>
      <c r="AQ20" s="10" t="n"/>
      <c r="AR20" s="10" t="n"/>
      <c r="AS20" s="10" t="n"/>
      <c r="AT20" s="10" t="n"/>
      <c r="AU20" s="10" t="n"/>
      <c r="AV20" s="10" t="n"/>
      <c r="AW20" s="8" t="n"/>
      <c r="AX20" s="10" t="n"/>
      <c r="AY20" s="8" t="n"/>
      <c r="AZ20" s="10" t="n"/>
      <c r="BA20" s="10" t="n"/>
      <c r="BB20" s="8" t="n"/>
    </row>
    <row r="21">
      <c r="A21" s="5" t="inlineStr">
        <is>
          <t>Eversheds Sutherland</t>
        </is>
      </c>
      <c r="B21" s="6" t="n">
        <v>39</v>
      </c>
      <c r="C21" s="6" t="n">
        <v>3</v>
      </c>
      <c r="D21" s="6" t="n">
        <v>13</v>
      </c>
      <c r="E21" s="13" t="inlineStr">
        <is>
          <t>B5</t>
        </is>
      </c>
      <c r="F21" s="12" t="inlineStr">
        <is>
          <t>T4</t>
        </is>
      </c>
      <c r="G21" s="10" t="n"/>
      <c r="H21" s="8" t="n"/>
      <c r="I21" s="10" t="n"/>
      <c r="J21" s="8" t="n"/>
      <c r="K21" s="10" t="n"/>
      <c r="L21" s="9" t="inlineStr">
        <is>
          <t>T2</t>
        </is>
      </c>
      <c r="M21" s="10" t="n"/>
      <c r="N21" s="11" t="inlineStr">
        <is>
          <t>T3</t>
        </is>
      </c>
      <c r="O21" s="10" t="n"/>
      <c r="P21" s="10" t="n"/>
      <c r="Q21" s="10" t="n"/>
      <c r="R21" s="12" t="inlineStr">
        <is>
          <t>T4</t>
        </is>
      </c>
      <c r="S21" s="10" t="n"/>
      <c r="T21" s="10" t="n"/>
      <c r="U21" s="10" t="n"/>
      <c r="V21" s="8" t="n"/>
      <c r="W21" s="10" t="n"/>
      <c r="X21" s="10" t="n"/>
      <c r="Y21" s="12" t="inlineStr">
        <is>
          <t>B4</t>
        </is>
      </c>
      <c r="Z21" s="11" t="inlineStr">
        <is>
          <t>T3</t>
        </is>
      </c>
      <c r="AA21" s="10" t="n"/>
      <c r="AB21" s="10" t="n"/>
      <c r="AC21" s="10" t="n"/>
      <c r="AD21" s="11" t="inlineStr">
        <is>
          <t>T3</t>
        </is>
      </c>
      <c r="AE21" s="8" t="n"/>
      <c r="AF21" s="12" t="inlineStr">
        <is>
          <t>T4</t>
        </is>
      </c>
      <c r="AG21" s="10" t="n"/>
      <c r="AH21" s="13" t="inlineStr">
        <is>
          <t>T5</t>
        </is>
      </c>
      <c r="AI21" s="12" t="inlineStr">
        <is>
          <t>B4</t>
        </is>
      </c>
      <c r="AJ21" s="12" t="inlineStr">
        <is>
          <t>T4</t>
        </is>
      </c>
      <c r="AK21" s="8" t="n"/>
      <c r="AL21" s="11" t="inlineStr">
        <is>
          <t>T3</t>
        </is>
      </c>
      <c r="AM21" s="8" t="n"/>
      <c r="AN21" s="11" t="inlineStr">
        <is>
          <t>T3</t>
        </is>
      </c>
      <c r="AO21" s="10" t="n"/>
      <c r="AP21" s="11" t="inlineStr">
        <is>
          <t>T3</t>
        </is>
      </c>
      <c r="AQ21" s="10" t="n"/>
      <c r="AR21" s="10" t="n"/>
      <c r="AS21" s="10" t="n"/>
      <c r="AT21" s="10" t="n"/>
      <c r="AU21" s="10" t="n"/>
      <c r="AV21" s="11" t="inlineStr">
        <is>
          <t>T3</t>
        </is>
      </c>
      <c r="AW21" s="8" t="n"/>
      <c r="AX21" s="10" t="n"/>
      <c r="AY21" s="8" t="n"/>
      <c r="AZ21" s="10" t="n"/>
      <c r="BA21" s="10" t="n"/>
      <c r="BB21" s="8" t="n"/>
    </row>
    <row r="22">
      <c r="A22" s="5" t="inlineStr">
        <is>
          <t>Hammarskiöld</t>
        </is>
      </c>
      <c r="B22" s="6" t="n">
        <v>38</v>
      </c>
      <c r="C22" s="6" t="n">
        <v>4</v>
      </c>
      <c r="D22" s="6" t="n">
        <v>10</v>
      </c>
      <c r="E22" s="12" t="inlineStr">
        <is>
          <t>B4</t>
        </is>
      </c>
      <c r="F22" s="11" t="inlineStr">
        <is>
          <t>T3</t>
        </is>
      </c>
      <c r="G22" s="12" t="inlineStr">
        <is>
          <t>B4</t>
        </is>
      </c>
      <c r="H22" s="8" t="n"/>
      <c r="I22" s="10" t="n"/>
      <c r="J22" s="8" t="n"/>
      <c r="K22" s="10" t="n"/>
      <c r="L22" s="9" t="inlineStr">
        <is>
          <t>T2</t>
        </is>
      </c>
      <c r="M22" s="10" t="n"/>
      <c r="N22" s="12" t="inlineStr">
        <is>
          <t>T4</t>
        </is>
      </c>
      <c r="O22" s="10" t="n"/>
      <c r="P22" s="11" t="inlineStr">
        <is>
          <t>T3</t>
        </is>
      </c>
      <c r="Q22" s="13" t="inlineStr">
        <is>
          <t>B5</t>
        </is>
      </c>
      <c r="R22" s="11" t="inlineStr">
        <is>
          <t>T3</t>
        </is>
      </c>
      <c r="S22" s="10" t="n"/>
      <c r="T22" s="10" t="n"/>
      <c r="U22" s="10" t="n"/>
      <c r="V22" s="8" t="n"/>
      <c r="W22" s="12" t="inlineStr">
        <is>
          <t>B4</t>
        </is>
      </c>
      <c r="X22" s="11" t="inlineStr">
        <is>
          <t>T3</t>
        </is>
      </c>
      <c r="Y22" s="10" t="n"/>
      <c r="Z22" s="11" t="inlineStr">
        <is>
          <t>T3</t>
        </is>
      </c>
      <c r="AA22" s="10" t="n"/>
      <c r="AB22" s="10" t="n"/>
      <c r="AC22" s="10" t="n"/>
      <c r="AD22" s="10" t="n"/>
      <c r="AE22" s="8" t="n"/>
      <c r="AF22" s="10" t="n"/>
      <c r="AG22" s="10" t="n"/>
      <c r="AH22" s="10" t="n"/>
      <c r="AI22" s="10" t="n"/>
      <c r="AJ22" s="10" t="n"/>
      <c r="AK22" s="8" t="n"/>
      <c r="AL22" s="10" t="n"/>
      <c r="AM22" s="8" t="n"/>
      <c r="AN22" s="11" t="inlineStr">
        <is>
          <t>T3</t>
        </is>
      </c>
      <c r="AO22" s="10" t="n"/>
      <c r="AP22" s="11" t="inlineStr">
        <is>
          <t>T3</t>
        </is>
      </c>
      <c r="AQ22" s="10" t="n"/>
      <c r="AR22" s="10" t="n"/>
      <c r="AS22" s="10" t="n"/>
      <c r="AT22" s="10" t="n"/>
      <c r="AU22" s="10" t="n"/>
      <c r="AV22" s="10" t="n"/>
      <c r="AW22" s="8" t="n"/>
      <c r="AX22" s="9" t="inlineStr">
        <is>
          <t>T2</t>
        </is>
      </c>
      <c r="AY22" s="8" t="n"/>
      <c r="AZ22" s="10" t="n"/>
      <c r="BA22" s="10" t="n"/>
      <c r="BB22" s="8" t="n"/>
    </row>
    <row r="23">
      <c r="A23" s="5" t="inlineStr">
        <is>
          <t>TM &amp; Partners</t>
        </is>
      </c>
      <c r="B23" s="6" t="n">
        <v>38</v>
      </c>
      <c r="C23" s="6" t="n">
        <v>5</v>
      </c>
      <c r="D23" s="6" t="n">
        <v>11</v>
      </c>
      <c r="E23" s="13" t="inlineStr">
        <is>
          <t>B5</t>
        </is>
      </c>
      <c r="F23" s="12" t="inlineStr">
        <is>
          <t>T4</t>
        </is>
      </c>
      <c r="G23" s="10" t="n"/>
      <c r="H23" s="8" t="n"/>
      <c r="I23" s="10" t="n"/>
      <c r="J23" s="8" t="n"/>
      <c r="K23" s="11" t="inlineStr">
        <is>
          <t>B3</t>
        </is>
      </c>
      <c r="L23" s="11" t="inlineStr">
        <is>
          <t>T3</t>
        </is>
      </c>
      <c r="M23" s="12" t="inlineStr">
        <is>
          <t>B4</t>
        </is>
      </c>
      <c r="N23" s="12" t="inlineStr">
        <is>
          <t>T4</t>
        </is>
      </c>
      <c r="O23" s="10" t="n"/>
      <c r="P23" s="10" t="n"/>
      <c r="Q23" s="10" t="n"/>
      <c r="R23" s="12" t="inlineStr">
        <is>
          <t>T4</t>
        </is>
      </c>
      <c r="S23" s="10" t="n"/>
      <c r="T23" s="10" t="n"/>
      <c r="U23" s="10" t="n"/>
      <c r="V23" s="8" t="n"/>
      <c r="W23" s="10" t="n"/>
      <c r="X23" s="10" t="n"/>
      <c r="Y23" s="11" t="inlineStr">
        <is>
          <t>B3</t>
        </is>
      </c>
      <c r="Z23" s="9" t="inlineStr">
        <is>
          <t>T2</t>
        </is>
      </c>
      <c r="AA23" s="10" t="n"/>
      <c r="AB23" s="10" t="n"/>
      <c r="AC23" s="12" t="inlineStr">
        <is>
          <t>B4</t>
        </is>
      </c>
      <c r="AD23" s="11" t="inlineStr">
        <is>
          <t>T3</t>
        </is>
      </c>
      <c r="AE23" s="8" t="n"/>
      <c r="AF23" s="10" t="n"/>
      <c r="AG23" s="10" t="n"/>
      <c r="AH23" s="13" t="inlineStr">
        <is>
          <t>T5</t>
        </is>
      </c>
      <c r="AI23" s="10" t="n"/>
      <c r="AJ23" s="11" t="inlineStr">
        <is>
          <t>T3</t>
        </is>
      </c>
      <c r="AK23" s="8" t="n"/>
      <c r="AL23" s="11" t="inlineStr">
        <is>
          <t>T3</t>
        </is>
      </c>
      <c r="AM23" s="8" t="n"/>
      <c r="AN23" s="12" t="inlineStr">
        <is>
          <t>T4</t>
        </is>
      </c>
      <c r="AO23" s="10" t="n"/>
      <c r="AP23" s="10" t="n"/>
      <c r="AQ23" s="10" t="n"/>
      <c r="AR23" s="10" t="n"/>
      <c r="AS23" s="10" t="n"/>
      <c r="AT23" s="10" t="n"/>
      <c r="AU23" s="10" t="n"/>
      <c r="AV23" s="10" t="n"/>
      <c r="AW23" s="8" t="n"/>
      <c r="AX23" s="12" t="inlineStr">
        <is>
          <t>T4</t>
        </is>
      </c>
      <c r="AY23" s="8" t="n"/>
      <c r="AZ23" s="10" t="n"/>
      <c r="BA23" s="10" t="n"/>
      <c r="BB23" s="8" t="n"/>
    </row>
    <row r="24">
      <c r="A24" s="5" t="inlineStr">
        <is>
          <t>Baker McKenzie</t>
        </is>
      </c>
      <c r="B24" s="6" t="n">
        <v>36</v>
      </c>
      <c r="C24" s="6" t="n">
        <v>6</v>
      </c>
      <c r="D24" s="6" t="n">
        <v>6</v>
      </c>
      <c r="E24" s="11" t="inlineStr">
        <is>
          <t>B3</t>
        </is>
      </c>
      <c r="F24" s="11" t="inlineStr">
        <is>
          <t>T3</t>
        </is>
      </c>
      <c r="G24" s="11" t="inlineStr">
        <is>
          <t>B3</t>
        </is>
      </c>
      <c r="H24" s="8" t="n"/>
      <c r="I24" s="10" t="n"/>
      <c r="J24" s="8" t="n"/>
      <c r="K24" s="12" t="inlineStr">
        <is>
          <t>B4</t>
        </is>
      </c>
      <c r="L24" s="9" t="inlineStr">
        <is>
          <t>T2</t>
        </is>
      </c>
      <c r="M24" s="11" t="inlineStr">
        <is>
          <t>B3</t>
        </is>
      </c>
      <c r="N24" s="7" t="inlineStr">
        <is>
          <t>T1</t>
        </is>
      </c>
      <c r="O24" s="10" t="n"/>
      <c r="P24" s="10" t="n"/>
      <c r="Q24" s="10" t="n"/>
      <c r="R24" s="12" t="inlineStr">
        <is>
          <t>T4</t>
        </is>
      </c>
      <c r="S24" s="10" t="n"/>
      <c r="T24" s="10" t="n"/>
      <c r="U24" s="10" t="n"/>
      <c r="V24" s="8" t="n"/>
      <c r="W24" s="10" t="n"/>
      <c r="X24" s="10" t="n"/>
      <c r="Y24" s="12" t="inlineStr">
        <is>
          <t>B4</t>
        </is>
      </c>
      <c r="Z24" s="10" t="n"/>
      <c r="AA24" s="11" t="inlineStr">
        <is>
          <t>B3</t>
        </is>
      </c>
      <c r="AB24" s="11" t="inlineStr">
        <is>
          <t>T3</t>
        </is>
      </c>
      <c r="AC24" s="10" t="n"/>
      <c r="AD24" s="10" t="n"/>
      <c r="AE24" s="8" t="n"/>
      <c r="AF24" s="10" t="n"/>
      <c r="AG24" s="10" t="n"/>
      <c r="AH24" s="11" t="inlineStr">
        <is>
          <t>T3</t>
        </is>
      </c>
      <c r="AI24" s="10" t="n"/>
      <c r="AJ24" s="10" t="n"/>
      <c r="AK24" s="8" t="n"/>
      <c r="AL24" s="10" t="n"/>
      <c r="AM24" s="8" t="n"/>
      <c r="AN24" s="10" t="n"/>
      <c r="AO24" s="10" t="n"/>
      <c r="AP24" s="10" t="n"/>
      <c r="AQ24" s="10" t="n"/>
      <c r="AR24" s="10" t="n"/>
      <c r="AS24" s="10" t="n"/>
      <c r="AT24" s="10" t="n"/>
      <c r="AU24" s="10" t="n"/>
      <c r="AV24" s="10" t="n"/>
      <c r="AW24" s="8" t="n"/>
      <c r="AX24" s="10" t="n"/>
      <c r="AY24" s="8" t="n"/>
      <c r="AZ24" s="10" t="n"/>
      <c r="BA24" s="10" t="n"/>
      <c r="BB24" s="8" t="n"/>
    </row>
    <row r="25">
      <c r="A25" s="5" t="inlineStr">
        <is>
          <t>Bird &amp; Bird</t>
        </is>
      </c>
      <c r="B25" s="6" t="n">
        <v>31</v>
      </c>
      <c r="C25" s="6" t="n">
        <v>4</v>
      </c>
      <c r="D25" s="6" t="n">
        <v>8</v>
      </c>
      <c r="E25" s="13" t="inlineStr">
        <is>
          <t>B5</t>
        </is>
      </c>
      <c r="F25" s="11" t="inlineStr">
        <is>
          <t>T3</t>
        </is>
      </c>
      <c r="G25" s="10" t="n"/>
      <c r="H25" s="8" t="n"/>
      <c r="I25" s="10" t="n"/>
      <c r="J25" s="8" t="n"/>
      <c r="K25" s="10" t="n"/>
      <c r="L25" s="10" t="n"/>
      <c r="M25" s="10" t="n"/>
      <c r="N25" s="12" t="inlineStr">
        <is>
          <t>T4</t>
        </is>
      </c>
      <c r="O25" s="10" t="n"/>
      <c r="P25" s="10" t="n"/>
      <c r="Q25" s="10" t="n"/>
      <c r="R25" s="13" t="inlineStr">
        <is>
          <t>T5</t>
        </is>
      </c>
      <c r="S25" s="10" t="n"/>
      <c r="T25" s="10" t="n"/>
      <c r="U25" s="10" t="n"/>
      <c r="V25" s="8" t="n"/>
      <c r="W25" s="10" t="n"/>
      <c r="X25" s="10" t="n"/>
      <c r="Y25" s="11" t="inlineStr">
        <is>
          <t>B3</t>
        </is>
      </c>
      <c r="Z25" s="11" t="inlineStr">
        <is>
          <t>T3</t>
        </is>
      </c>
      <c r="AA25" s="11" t="inlineStr">
        <is>
          <t>B3</t>
        </is>
      </c>
      <c r="AB25" s="9" t="inlineStr">
        <is>
          <t>T2</t>
        </is>
      </c>
      <c r="AC25" s="10" t="n"/>
      <c r="AD25" s="10" t="n"/>
      <c r="AE25" s="8" t="n"/>
      <c r="AF25" s="10" t="n"/>
      <c r="AG25" s="12" t="inlineStr">
        <is>
          <t>B4</t>
        </is>
      </c>
      <c r="AH25" s="11" t="inlineStr">
        <is>
          <t>T3</t>
        </is>
      </c>
      <c r="AI25" s="10" t="n"/>
      <c r="AJ25" s="11" t="inlineStr">
        <is>
          <t>T3</t>
        </is>
      </c>
      <c r="AK25" s="8" t="n"/>
      <c r="AL25" s="11" t="inlineStr">
        <is>
          <t>T3</t>
        </is>
      </c>
      <c r="AM25" s="8" t="n"/>
      <c r="AN25" s="10" t="n"/>
      <c r="AO25" s="10" t="n"/>
      <c r="AP25" s="10" t="n"/>
      <c r="AQ25" s="10" t="n"/>
      <c r="AR25" s="10" t="n"/>
      <c r="AS25" s="10" t="n"/>
      <c r="AT25" s="10" t="n"/>
      <c r="AU25" s="10" t="n"/>
      <c r="AV25" s="10" t="n"/>
      <c r="AW25" s="8" t="n"/>
      <c r="AX25" s="10" t="n"/>
      <c r="AY25" s="8" t="n"/>
      <c r="AZ25" s="10" t="n"/>
      <c r="BA25" s="10" t="n"/>
      <c r="BB25" s="8" t="n"/>
    </row>
    <row r="26">
      <c r="A26" s="36" t="inlineStr">
        <is>
          <t>MAQS</t>
        </is>
      </c>
      <c r="B26" s="37" t="n">
        <v>30</v>
      </c>
      <c r="C26" s="37" t="n">
        <v>1</v>
      </c>
      <c r="D26" s="37" t="n">
        <v>11</v>
      </c>
      <c r="E26" s="38" t="n"/>
      <c r="F26" s="39" t="inlineStr">
        <is>
          <t>T4</t>
        </is>
      </c>
      <c r="G26" s="38" t="n"/>
      <c r="H26" s="40" t="n"/>
      <c r="I26" s="38" t="n"/>
      <c r="J26" s="40" t="n"/>
      <c r="K26" s="38" t="n"/>
      <c r="L26" s="38" t="n"/>
      <c r="M26" s="38" t="n"/>
      <c r="N26" s="39" t="inlineStr">
        <is>
          <t>T4</t>
        </is>
      </c>
      <c r="O26" s="38" t="n"/>
      <c r="P26" s="38" t="n"/>
      <c r="Q26" s="38" t="n"/>
      <c r="R26" s="41" t="inlineStr">
        <is>
          <t>T5</t>
        </is>
      </c>
      <c r="S26" s="38" t="n"/>
      <c r="T26" s="38" t="n"/>
      <c r="U26" s="38" t="n"/>
      <c r="V26" s="40" t="n"/>
      <c r="W26" s="38" t="n"/>
      <c r="X26" s="39" t="inlineStr">
        <is>
          <t>T4</t>
        </is>
      </c>
      <c r="Y26" s="39" t="inlineStr">
        <is>
          <t>B4</t>
        </is>
      </c>
      <c r="Z26" s="42" t="inlineStr">
        <is>
          <t>T3</t>
        </is>
      </c>
      <c r="AA26" s="38" t="n"/>
      <c r="AB26" s="38" t="n"/>
      <c r="AC26" s="38" t="n"/>
      <c r="AD26" s="39" t="inlineStr">
        <is>
          <t>T4</t>
        </is>
      </c>
      <c r="AE26" s="40" t="n"/>
      <c r="AF26" s="43" t="inlineStr">
        <is>
          <t>T2</t>
        </is>
      </c>
      <c r="AG26" s="38" t="n"/>
      <c r="AH26" s="39" t="inlineStr">
        <is>
          <t>T4</t>
        </is>
      </c>
      <c r="AI26" s="38" t="n"/>
      <c r="AJ26" s="38" t="n"/>
      <c r="AK26" s="40" t="n"/>
      <c r="AL26" s="42" t="inlineStr">
        <is>
          <t>T3</t>
        </is>
      </c>
      <c r="AM26" s="40" t="n"/>
      <c r="AN26" s="38" t="n"/>
      <c r="AO26" s="38" t="n"/>
      <c r="AP26" s="43" t="inlineStr">
        <is>
          <t>T2</t>
        </is>
      </c>
      <c r="AQ26" s="38" t="n"/>
      <c r="AR26" s="42" t="inlineStr">
        <is>
          <t>T3</t>
        </is>
      </c>
      <c r="AS26" s="38" t="n"/>
      <c r="AT26" s="38" t="n"/>
      <c r="AU26" s="38" t="n"/>
      <c r="AV26" s="38" t="n"/>
      <c r="AW26" s="40" t="n"/>
      <c r="AX26" s="38" t="n"/>
      <c r="AY26" s="40" t="n"/>
      <c r="AZ26" s="38" t="n"/>
      <c r="BA26" s="38" t="n"/>
      <c r="BB26" s="44" t="n"/>
    </row>
    <row r="27">
      <c r="A27" s="5" t="inlineStr">
        <is>
          <t>Morris Law</t>
        </is>
      </c>
      <c r="B27" s="6" t="n">
        <v>26</v>
      </c>
      <c r="C27" s="6" t="n">
        <v>2</v>
      </c>
      <c r="D27" s="6" t="n">
        <v>9</v>
      </c>
      <c r="E27" s="10" t="n"/>
      <c r="F27" s="13" t="inlineStr">
        <is>
          <t>T5</t>
        </is>
      </c>
      <c r="G27" s="10" t="n"/>
      <c r="H27" s="8" t="n"/>
      <c r="I27" s="10" t="n"/>
      <c r="J27" s="8" t="n"/>
      <c r="K27" s="10" t="n"/>
      <c r="L27" s="10" t="n"/>
      <c r="M27" s="10" t="n"/>
      <c r="N27" s="10" t="n"/>
      <c r="O27" s="10" t="n"/>
      <c r="P27" s="10" t="n"/>
      <c r="Q27" s="13" t="inlineStr">
        <is>
          <t>B5</t>
        </is>
      </c>
      <c r="R27" s="12" t="inlineStr">
        <is>
          <t>T4</t>
        </is>
      </c>
      <c r="S27" s="10" t="n"/>
      <c r="T27" s="10" t="n"/>
      <c r="U27" s="10" t="n"/>
      <c r="V27" s="8" t="n"/>
      <c r="W27" s="10" t="n"/>
      <c r="X27" s="10" t="n"/>
      <c r="Y27" s="11" t="inlineStr">
        <is>
          <t>B3</t>
        </is>
      </c>
      <c r="Z27" s="9" t="inlineStr">
        <is>
          <t>T2</t>
        </is>
      </c>
      <c r="AA27" s="10" t="n"/>
      <c r="AB27" s="10" t="n"/>
      <c r="AC27" s="10" t="n"/>
      <c r="AD27" s="12" t="inlineStr">
        <is>
          <t>T4</t>
        </is>
      </c>
      <c r="AE27" s="8" t="n"/>
      <c r="AF27" s="11" t="inlineStr">
        <is>
          <t>T3</t>
        </is>
      </c>
      <c r="AG27" s="10" t="n"/>
      <c r="AH27" s="13" t="inlineStr">
        <is>
          <t>T5</t>
        </is>
      </c>
      <c r="AI27" s="10" t="n"/>
      <c r="AJ27" s="10" t="n"/>
      <c r="AK27" s="8" t="n"/>
      <c r="AL27" s="10" t="n"/>
      <c r="AM27" s="8" t="n"/>
      <c r="AN27" s="10" t="n"/>
      <c r="AO27" s="10" t="n"/>
      <c r="AP27" s="11" t="inlineStr">
        <is>
          <t>T3</t>
        </is>
      </c>
      <c r="AQ27" s="10" t="n"/>
      <c r="AR27" s="9" t="inlineStr">
        <is>
          <t>T2</t>
        </is>
      </c>
      <c r="AS27" s="10" t="n"/>
      <c r="AT27" s="10" t="n"/>
      <c r="AU27" s="10" t="n"/>
      <c r="AV27" s="12" t="inlineStr">
        <is>
          <t>T4</t>
        </is>
      </c>
      <c r="AW27" s="8" t="n"/>
      <c r="AX27" s="10" t="n"/>
      <c r="AY27" s="8" t="n"/>
      <c r="AZ27" s="10" t="n"/>
      <c r="BA27" s="10" t="n"/>
      <c r="BB27" s="8" t="n"/>
    </row>
    <row r="28">
      <c r="A28" s="5" t="inlineStr">
        <is>
          <t>Westerberg &amp; Partners</t>
        </is>
      </c>
      <c r="B28" s="6" t="n">
        <v>26</v>
      </c>
      <c r="C28" s="6" t="n">
        <v>2</v>
      </c>
      <c r="D28" s="6" t="n">
        <v>4</v>
      </c>
      <c r="E28" s="10" t="n"/>
      <c r="F28" s="10" t="n"/>
      <c r="G28" s="10" t="n"/>
      <c r="H28" s="8" t="n"/>
      <c r="I28" s="10" t="n"/>
      <c r="J28" s="8" t="n"/>
      <c r="K28" s="10" t="n"/>
      <c r="L28" s="10" t="n"/>
      <c r="M28" s="10" t="n"/>
      <c r="N28" s="10" t="n"/>
      <c r="O28" s="10" t="n"/>
      <c r="P28" s="10" t="n"/>
      <c r="Q28" s="9" t="inlineStr">
        <is>
          <t>B2</t>
        </is>
      </c>
      <c r="R28" s="9" t="inlineStr">
        <is>
          <t>T2</t>
        </is>
      </c>
      <c r="S28" s="10" t="n"/>
      <c r="T28" s="10" t="n"/>
      <c r="U28" s="10" t="n"/>
      <c r="V28" s="8" t="n"/>
      <c r="W28" s="10" t="n"/>
      <c r="X28" s="10" t="n"/>
      <c r="Y28" s="10" t="n"/>
      <c r="Z28" s="10" t="n"/>
      <c r="AA28" s="10" t="n"/>
      <c r="AB28" s="10" t="n"/>
      <c r="AC28" s="10" t="n"/>
      <c r="AD28" s="10" t="n"/>
      <c r="AE28" s="8" t="n"/>
      <c r="AF28" s="10" t="n"/>
      <c r="AG28" s="7" t="inlineStr">
        <is>
          <t>B1</t>
        </is>
      </c>
      <c r="AH28" s="7" t="inlineStr">
        <is>
          <t>T1</t>
        </is>
      </c>
      <c r="AI28" s="10" t="n"/>
      <c r="AJ28" s="10" t="n"/>
      <c r="AK28" s="8" t="n"/>
      <c r="AL28" s="10" t="n"/>
      <c r="AM28" s="8" t="n"/>
      <c r="AN28" s="10" t="n"/>
      <c r="AO28" s="10" t="n"/>
      <c r="AP28" s="10" t="n"/>
      <c r="AQ28" s="10" t="n"/>
      <c r="AR28" s="10" t="n"/>
      <c r="AS28" s="10" t="n"/>
      <c r="AT28" s="7" t="inlineStr">
        <is>
          <t>T1</t>
        </is>
      </c>
      <c r="AU28" s="10" t="n"/>
      <c r="AV28" s="10" t="n"/>
      <c r="AW28" s="8" t="n"/>
      <c r="AX28" s="11" t="inlineStr">
        <is>
          <t>T3</t>
        </is>
      </c>
      <c r="AY28" s="8" t="n"/>
      <c r="AZ28" s="10" t="n"/>
      <c r="BA28" s="10" t="n"/>
      <c r="BB28" s="8" t="n"/>
    </row>
    <row r="29">
      <c r="A29" s="5" t="inlineStr">
        <is>
          <t>Kahn Pedersen</t>
        </is>
      </c>
      <c r="B29" s="6" t="n">
        <v>25</v>
      </c>
      <c r="C29" s="6" t="n">
        <v>2</v>
      </c>
      <c r="D29" s="6" t="n">
        <v>3</v>
      </c>
      <c r="E29" s="10" t="n"/>
      <c r="F29" s="10" t="n"/>
      <c r="G29" s="10" t="n"/>
      <c r="H29" s="8" t="n"/>
      <c r="I29" s="10" t="n"/>
      <c r="J29" s="8" t="n"/>
      <c r="K29" s="10" t="n"/>
      <c r="L29" s="10" t="n"/>
      <c r="M29" s="10" t="n"/>
      <c r="N29" s="10" t="n"/>
      <c r="O29" s="10" t="n"/>
      <c r="P29" s="10" t="n"/>
      <c r="Q29" s="10" t="n"/>
      <c r="R29" s="10" t="n"/>
      <c r="S29" s="10" t="n"/>
      <c r="T29" s="10" t="n"/>
      <c r="U29" s="10" t="n"/>
      <c r="V29" s="8" t="n"/>
      <c r="W29" s="10" t="n"/>
      <c r="X29" s="10" t="n"/>
      <c r="Y29" s="10" t="n"/>
      <c r="Z29" s="10" t="n"/>
      <c r="AA29" s="10" t="n"/>
      <c r="AB29" s="10" t="n"/>
      <c r="AC29" s="10" t="n"/>
      <c r="AD29" s="10" t="n"/>
      <c r="AE29" s="8" t="n"/>
      <c r="AF29" s="10" t="n"/>
      <c r="AG29" s="10" t="n"/>
      <c r="AH29" s="10" t="n"/>
      <c r="AI29" s="7" t="inlineStr">
        <is>
          <t>B1</t>
        </is>
      </c>
      <c r="AJ29" s="7" t="inlineStr">
        <is>
          <t>T1</t>
        </is>
      </c>
      <c r="AK29" s="8" t="n"/>
      <c r="AL29" s="7" t="inlineStr">
        <is>
          <t>T1</t>
        </is>
      </c>
      <c r="AM29" s="8" t="n"/>
      <c r="AN29" s="10" t="n"/>
      <c r="AO29" s="10" t="n"/>
      <c r="AP29" s="10" t="n"/>
      <c r="AQ29" s="10" t="n"/>
      <c r="AR29" s="10" t="n"/>
      <c r="AS29" s="10" t="n"/>
      <c r="AT29" s="10" t="n"/>
      <c r="AU29" s="7" t="inlineStr">
        <is>
          <t>B1</t>
        </is>
      </c>
      <c r="AV29" s="7" t="inlineStr">
        <is>
          <t>T1</t>
        </is>
      </c>
      <c r="AW29" s="8" t="n"/>
      <c r="AX29" s="10" t="n"/>
      <c r="AY29" s="8" t="n"/>
      <c r="AZ29" s="10" t="n"/>
      <c r="BA29" s="10" t="n"/>
      <c r="BB29" s="8" t="n"/>
    </row>
    <row r="30">
      <c r="A30" s="5" t="inlineStr">
        <is>
          <t>Synch</t>
        </is>
      </c>
      <c r="B30" s="6" t="n">
        <v>23</v>
      </c>
      <c r="C30" s="6" t="n">
        <v>2</v>
      </c>
      <c r="D30" s="6" t="n">
        <v>7</v>
      </c>
      <c r="E30" s="10" t="n"/>
      <c r="F30" s="13" t="inlineStr">
        <is>
          <t>T5</t>
        </is>
      </c>
      <c r="G30" s="10" t="n"/>
      <c r="H30" s="8" t="n"/>
      <c r="I30" s="10" t="n"/>
      <c r="J30" s="8" t="n"/>
      <c r="K30" s="10" t="n"/>
      <c r="L30" s="10" t="n"/>
      <c r="M30" s="10" t="n"/>
      <c r="N30" s="12" t="inlineStr">
        <is>
          <t>T4</t>
        </is>
      </c>
      <c r="O30" s="10" t="n"/>
      <c r="P30" s="10" t="n"/>
      <c r="Q30" s="10" t="n"/>
      <c r="R30" s="10" t="n"/>
      <c r="S30" s="10" t="n"/>
      <c r="T30" s="10" t="n"/>
      <c r="U30" s="10" t="n"/>
      <c r="V30" s="8" t="n"/>
      <c r="W30" s="10" t="n"/>
      <c r="X30" s="10" t="n"/>
      <c r="Y30" s="10" t="n"/>
      <c r="Z30" s="10" t="n"/>
      <c r="AA30" s="10" t="n"/>
      <c r="AB30" s="10" t="n"/>
      <c r="AC30" s="10" t="n"/>
      <c r="AD30" s="10" t="n"/>
      <c r="AE30" s="8" t="n"/>
      <c r="AF30" s="10" t="n"/>
      <c r="AG30" s="12" t="inlineStr">
        <is>
          <t>B4</t>
        </is>
      </c>
      <c r="AH30" s="9" t="inlineStr">
        <is>
          <t>T2</t>
        </is>
      </c>
      <c r="AI30" s="11" t="inlineStr">
        <is>
          <t>B3</t>
        </is>
      </c>
      <c r="AJ30" s="11" t="inlineStr">
        <is>
          <t>T3</t>
        </is>
      </c>
      <c r="AK30" s="8" t="n"/>
      <c r="AL30" s="11" t="inlineStr">
        <is>
          <t>T3</t>
        </is>
      </c>
      <c r="AM30" s="8" t="n"/>
      <c r="AN30" s="11" t="inlineStr">
        <is>
          <t>T3</t>
        </is>
      </c>
      <c r="AO30" s="10" t="n"/>
      <c r="AP30" s="10" t="n"/>
      <c r="AQ30" s="10" t="n"/>
      <c r="AR30" s="10" t="n"/>
      <c r="AS30" s="10" t="n"/>
      <c r="AT30" s="10" t="n"/>
      <c r="AU30" s="10" t="n"/>
      <c r="AV30" s="10" t="n"/>
      <c r="AW30" s="8" t="n"/>
      <c r="AX30" s="12" t="inlineStr">
        <is>
          <t>T4</t>
        </is>
      </c>
      <c r="AY30" s="8" t="n"/>
      <c r="AZ30" s="10" t="n"/>
      <c r="BA30" s="10" t="n"/>
      <c r="BB30" s="8" t="n"/>
    </row>
    <row r="31">
      <c r="A31" s="5" t="inlineStr">
        <is>
          <t>Wigge &amp; Partners</t>
        </is>
      </c>
      <c r="B31" s="6" t="n">
        <v>22</v>
      </c>
      <c r="C31" s="6" t="n">
        <v>5</v>
      </c>
      <c r="D31" s="6" t="n">
        <v>3</v>
      </c>
      <c r="E31" s="13" t="inlineStr">
        <is>
          <t>B5</t>
        </is>
      </c>
      <c r="F31" s="13" t="inlineStr">
        <is>
          <t>T5</t>
        </is>
      </c>
      <c r="G31" s="10" t="n"/>
      <c r="H31" s="8" t="n"/>
      <c r="I31" s="9" t="inlineStr">
        <is>
          <t>B2</t>
        </is>
      </c>
      <c r="J31" s="8" t="n"/>
      <c r="K31" s="12" t="inlineStr">
        <is>
          <t>B4</t>
        </is>
      </c>
      <c r="L31" s="11" t="inlineStr">
        <is>
          <t>T3</t>
        </is>
      </c>
      <c r="M31" s="12" t="inlineStr">
        <is>
          <t>B4</t>
        </is>
      </c>
      <c r="N31" s="10" t="n"/>
      <c r="O31" s="10" t="n"/>
      <c r="P31" s="10" t="n"/>
      <c r="Q31" s="10" t="n"/>
      <c r="R31" s="10" t="n"/>
      <c r="S31" s="10" t="n"/>
      <c r="T31" s="10" t="n"/>
      <c r="U31" s="10" t="n"/>
      <c r="V31" s="8" t="n"/>
      <c r="W31" s="10" t="n"/>
      <c r="X31" s="10" t="n"/>
      <c r="Y31" s="10" t="n"/>
      <c r="Z31" s="10" t="n"/>
      <c r="AA31" s="10" t="n"/>
      <c r="AB31" s="10" t="n"/>
      <c r="AC31" s="7" t="inlineStr">
        <is>
          <t>B1</t>
        </is>
      </c>
      <c r="AD31" s="9" t="inlineStr">
        <is>
          <t>T2</t>
        </is>
      </c>
      <c r="AE31" s="8" t="n"/>
      <c r="AF31" s="10" t="n"/>
      <c r="AG31" s="10" t="n"/>
      <c r="AH31" s="10" t="n"/>
      <c r="AI31" s="10" t="n"/>
      <c r="AJ31" s="10" t="n"/>
      <c r="AK31" s="8" t="n"/>
      <c r="AL31" s="10" t="n"/>
      <c r="AM31" s="8" t="n"/>
      <c r="AN31" s="10" t="n"/>
      <c r="AO31" s="10" t="n"/>
      <c r="AP31" s="10" t="n"/>
      <c r="AQ31" s="10" t="n"/>
      <c r="AR31" s="10" t="n"/>
      <c r="AS31" s="10" t="n"/>
      <c r="AT31" s="10" t="n"/>
      <c r="AU31" s="10" t="n"/>
      <c r="AV31" s="10" t="n"/>
      <c r="AW31" s="8" t="n"/>
      <c r="AX31" s="10" t="n"/>
      <c r="AY31" s="8" t="n"/>
      <c r="AZ31" s="10" t="n"/>
      <c r="BA31" s="10" t="n"/>
      <c r="BB31" s="8" t="n"/>
    </row>
    <row r="32">
      <c r="A32" s="5" t="inlineStr">
        <is>
          <t>Linklaters</t>
        </is>
      </c>
      <c r="B32" s="6" t="n">
        <v>21</v>
      </c>
      <c r="C32" s="6" t="n">
        <v>3</v>
      </c>
      <c r="D32" s="6" t="n">
        <v>4</v>
      </c>
      <c r="E32" s="11" t="inlineStr">
        <is>
          <t>B3</t>
        </is>
      </c>
      <c r="F32" s="9" t="inlineStr">
        <is>
          <t>T2</t>
        </is>
      </c>
      <c r="G32" s="10" t="n"/>
      <c r="H32" s="8" t="n"/>
      <c r="I32" s="10" t="n"/>
      <c r="J32" s="8" t="n"/>
      <c r="K32" s="12" t="inlineStr">
        <is>
          <t>B4</t>
        </is>
      </c>
      <c r="L32" s="11" t="inlineStr">
        <is>
          <t>T3</t>
        </is>
      </c>
      <c r="M32" s="12" t="inlineStr">
        <is>
          <t>B4</t>
        </is>
      </c>
      <c r="N32" s="9" t="inlineStr">
        <is>
          <t>T2</t>
        </is>
      </c>
      <c r="O32" s="10" t="n"/>
      <c r="P32" s="11" t="inlineStr">
        <is>
          <t>T3</t>
        </is>
      </c>
      <c r="Q32" s="10" t="n"/>
      <c r="R32" s="10" t="n"/>
      <c r="S32" s="10" t="n"/>
      <c r="T32" s="10" t="n"/>
      <c r="U32" s="10" t="n"/>
      <c r="V32" s="8" t="n"/>
      <c r="W32" s="10" t="n"/>
      <c r="X32" s="10" t="n"/>
      <c r="Y32" s="10" t="n"/>
      <c r="Z32" s="10" t="n"/>
      <c r="AA32" s="10" t="n"/>
      <c r="AB32" s="10" t="n"/>
      <c r="AC32" s="10" t="n"/>
      <c r="AD32" s="10" t="n"/>
      <c r="AE32" s="8" t="n"/>
      <c r="AF32" s="10" t="n"/>
      <c r="AG32" s="10" t="n"/>
      <c r="AH32" s="10" t="n"/>
      <c r="AI32" s="10" t="n"/>
      <c r="AJ32" s="10" t="n"/>
      <c r="AK32" s="8" t="n"/>
      <c r="AL32" s="10" t="n"/>
      <c r="AM32" s="8" t="n"/>
      <c r="AN32" s="10" t="n"/>
      <c r="AO32" s="10" t="n"/>
      <c r="AP32" s="10" t="n"/>
      <c r="AQ32" s="10" t="n"/>
      <c r="AR32" s="10" t="n"/>
      <c r="AS32" s="10" t="n"/>
      <c r="AT32" s="10" t="n"/>
      <c r="AU32" s="10" t="n"/>
      <c r="AV32" s="10" t="n"/>
      <c r="AW32" s="8" t="n"/>
      <c r="AX32" s="10" t="n"/>
      <c r="AY32" s="8" t="n"/>
      <c r="AZ32" s="10" t="n"/>
      <c r="BA32" s="10" t="n"/>
      <c r="BB32" s="8" t="n"/>
    </row>
    <row r="33">
      <c r="A33" s="5" t="inlineStr">
        <is>
          <t>Kastell</t>
        </is>
      </c>
      <c r="B33" s="6" t="n">
        <v>21</v>
      </c>
      <c r="C33" s="6" t="n">
        <v>3</v>
      </c>
      <c r="D33" s="6" t="n">
        <v>3</v>
      </c>
      <c r="E33" s="10" t="n"/>
      <c r="F33" s="10" t="n"/>
      <c r="G33" s="10" t="n"/>
      <c r="H33" s="8" t="n"/>
      <c r="I33" s="10" t="n"/>
      <c r="J33" s="8" t="n"/>
      <c r="K33" s="10" t="n"/>
      <c r="L33" s="10" t="n"/>
      <c r="M33" s="10" t="n"/>
      <c r="N33" s="10" t="n"/>
      <c r="O33" s="10" t="n"/>
      <c r="P33" s="10" t="n"/>
      <c r="Q33" s="11" t="inlineStr">
        <is>
          <t>B3</t>
        </is>
      </c>
      <c r="R33" s="12" t="inlineStr">
        <is>
          <t>T4</t>
        </is>
      </c>
      <c r="S33" s="10" t="n"/>
      <c r="T33" s="10" t="n"/>
      <c r="U33" s="10" t="n"/>
      <c r="V33" s="8" t="n"/>
      <c r="W33" s="9" t="inlineStr">
        <is>
          <t>B2</t>
        </is>
      </c>
      <c r="X33" s="9" t="inlineStr">
        <is>
          <t>T2</t>
        </is>
      </c>
      <c r="Y33" s="10" t="n"/>
      <c r="Z33" s="10" t="n"/>
      <c r="AA33" s="10" t="n"/>
      <c r="AB33" s="10" t="n"/>
      <c r="AC33" s="10" t="n"/>
      <c r="AD33" s="10" t="n"/>
      <c r="AE33" s="8" t="n"/>
      <c r="AF33" s="10" t="n"/>
      <c r="AG33" s="10" t="n"/>
      <c r="AH33" s="10" t="n"/>
      <c r="AI33" s="10" t="n"/>
      <c r="AJ33" s="10" t="n"/>
      <c r="AK33" s="8" t="n"/>
      <c r="AL33" s="10" t="n"/>
      <c r="AM33" s="8" t="n"/>
      <c r="AN33" s="10" t="n"/>
      <c r="AO33" s="10" t="n"/>
      <c r="AP33" s="10" t="n"/>
      <c r="AQ33" s="10" t="n"/>
      <c r="AR33" s="10" t="n"/>
      <c r="AS33" s="10" t="n"/>
      <c r="AT33" s="10" t="n"/>
      <c r="AU33" s="9" t="inlineStr">
        <is>
          <t>B2</t>
        </is>
      </c>
      <c r="AV33" s="9" t="inlineStr">
        <is>
          <t>T2</t>
        </is>
      </c>
      <c r="AW33" s="8" t="n"/>
      <c r="AX33" s="10" t="n"/>
      <c r="AY33" s="8" t="n"/>
      <c r="AZ33" s="10" t="n"/>
      <c r="BA33" s="10" t="n"/>
      <c r="BB33" s="8" t="n"/>
    </row>
    <row r="34">
      <c r="A34" s="5" t="inlineStr">
        <is>
          <t>Hellström</t>
        </is>
      </c>
      <c r="B34" s="6" t="n">
        <v>21</v>
      </c>
      <c r="C34" s="6" t="n">
        <v>1</v>
      </c>
      <c r="D34" s="6" t="n">
        <v>7</v>
      </c>
      <c r="E34" s="10" t="n"/>
      <c r="F34" s="10" t="n"/>
      <c r="G34" s="10" t="n"/>
      <c r="H34" s="8" t="n"/>
      <c r="I34" s="10" t="n"/>
      <c r="J34" s="8" t="n"/>
      <c r="K34" s="10" t="n"/>
      <c r="L34" s="10" t="n"/>
      <c r="M34" s="10" t="n"/>
      <c r="N34" s="10" t="n"/>
      <c r="O34" s="10" t="n"/>
      <c r="P34" s="10" t="n"/>
      <c r="Q34" s="10" t="n"/>
      <c r="R34" s="13" t="inlineStr">
        <is>
          <t>T5</t>
        </is>
      </c>
      <c r="S34" s="10" t="n"/>
      <c r="T34" s="10" t="n"/>
      <c r="U34" s="10" t="n"/>
      <c r="V34" s="8" t="n"/>
      <c r="W34" s="10" t="n"/>
      <c r="X34" s="10" t="n"/>
      <c r="Y34" s="10" t="n"/>
      <c r="Z34" s="11" t="inlineStr">
        <is>
          <t>T3</t>
        </is>
      </c>
      <c r="AA34" s="10" t="n"/>
      <c r="AB34" s="10" t="n"/>
      <c r="AC34" s="10" t="n"/>
      <c r="AD34" s="10" t="n"/>
      <c r="AE34" s="8" t="n"/>
      <c r="AF34" s="11" t="inlineStr">
        <is>
          <t>T3</t>
        </is>
      </c>
      <c r="AG34" s="10" t="n"/>
      <c r="AH34" s="10" t="n"/>
      <c r="AI34" s="12" t="inlineStr">
        <is>
          <t>B4</t>
        </is>
      </c>
      <c r="AJ34" s="10" t="n"/>
      <c r="AK34" s="8" t="n"/>
      <c r="AL34" s="9" t="inlineStr">
        <is>
          <t>T2</t>
        </is>
      </c>
      <c r="AM34" s="8" t="n"/>
      <c r="AN34" s="10" t="n"/>
      <c r="AO34" s="10" t="n"/>
      <c r="AP34" s="11" t="inlineStr">
        <is>
          <t>T3</t>
        </is>
      </c>
      <c r="AQ34" s="10" t="n"/>
      <c r="AR34" s="11" t="inlineStr">
        <is>
          <t>T3</t>
        </is>
      </c>
      <c r="AS34" s="10" t="n"/>
      <c r="AT34" s="10" t="n"/>
      <c r="AU34" s="10" t="n"/>
      <c r="AV34" s="12" t="inlineStr">
        <is>
          <t>T4</t>
        </is>
      </c>
      <c r="AW34" s="8" t="n"/>
      <c r="AX34" s="10" t="n"/>
      <c r="AY34" s="8" t="n"/>
      <c r="AZ34" s="10" t="n"/>
      <c r="BA34" s="10" t="n"/>
      <c r="BB34" s="8" t="n"/>
    </row>
    <row r="35">
      <c r="A35" s="5" t="inlineStr">
        <is>
          <t>Fylgia</t>
        </is>
      </c>
      <c r="B35" s="6" t="n">
        <v>20</v>
      </c>
      <c r="C35" s="6" t="n">
        <v>1</v>
      </c>
      <c r="D35" s="6" t="n">
        <v>6</v>
      </c>
      <c r="E35" s="10" t="n"/>
      <c r="F35" s="13" t="inlineStr">
        <is>
          <t>T5</t>
        </is>
      </c>
      <c r="G35" s="10" t="n"/>
      <c r="H35" s="8" t="n"/>
      <c r="I35" s="10" t="n"/>
      <c r="J35" s="8" t="n"/>
      <c r="K35" s="10" t="n"/>
      <c r="L35" s="10" t="n"/>
      <c r="M35" s="10" t="n"/>
      <c r="N35" s="10" t="n"/>
      <c r="O35" s="10" t="n"/>
      <c r="P35" s="10" t="n"/>
      <c r="Q35" s="10" t="n"/>
      <c r="R35" s="10" t="n"/>
      <c r="S35" s="10" t="n"/>
      <c r="T35" s="9" t="inlineStr">
        <is>
          <t>T2</t>
        </is>
      </c>
      <c r="U35" s="11" t="inlineStr">
        <is>
          <t>B3</t>
        </is>
      </c>
      <c r="V35" s="8" t="n"/>
      <c r="W35" s="10" t="n"/>
      <c r="X35" s="10" t="n"/>
      <c r="Y35" s="10" t="n"/>
      <c r="Z35" s="10" t="n"/>
      <c r="AA35" s="10" t="n"/>
      <c r="AB35" s="10" t="n"/>
      <c r="AC35" s="10" t="n"/>
      <c r="AD35" s="10" t="n"/>
      <c r="AE35" s="8" t="n"/>
      <c r="AF35" s="12" t="inlineStr">
        <is>
          <t>T4</t>
        </is>
      </c>
      <c r="AG35" s="10" t="n"/>
      <c r="AH35" s="10" t="n"/>
      <c r="AI35" s="10" t="n"/>
      <c r="AJ35" s="11" t="inlineStr">
        <is>
          <t>T3</t>
        </is>
      </c>
      <c r="AK35" s="8" t="n"/>
      <c r="AL35" s="11" t="inlineStr">
        <is>
          <t>T3</t>
        </is>
      </c>
      <c r="AM35" s="8" t="n"/>
      <c r="AN35" s="10" t="n"/>
      <c r="AO35" s="10" t="n"/>
      <c r="AP35" s="10" t="n"/>
      <c r="AQ35" s="10" t="n"/>
      <c r="AR35" s="10" t="n"/>
      <c r="AS35" s="10" t="n"/>
      <c r="AT35" s="10" t="n"/>
      <c r="AU35" s="10" t="n"/>
      <c r="AV35" s="9" t="inlineStr">
        <is>
          <t>T2</t>
        </is>
      </c>
      <c r="AW35" s="8" t="n"/>
      <c r="AX35" s="10" t="n"/>
      <c r="AY35" s="8" t="n"/>
      <c r="AZ35" s="10" t="n"/>
      <c r="BA35" s="10" t="n"/>
      <c r="BB35" s="8" t="n"/>
    </row>
    <row r="36">
      <c r="A36" s="5" t="inlineStr">
        <is>
          <t>TIME DANOWSKY Advokatbyrå AB</t>
        </is>
      </c>
      <c r="B36" s="6" t="n">
        <v>20</v>
      </c>
      <c r="C36" s="6" t="n">
        <v>3</v>
      </c>
      <c r="D36" s="6" t="n">
        <v>4</v>
      </c>
      <c r="E36" s="10" t="n"/>
      <c r="F36" s="10" t="n"/>
      <c r="G36" s="10" t="n"/>
      <c r="H36" s="8" t="n"/>
      <c r="I36" s="10" t="n"/>
      <c r="J36" s="8" t="n"/>
      <c r="K36" s="10" t="n"/>
      <c r="L36" s="10" t="n"/>
      <c r="M36" s="10" t="n"/>
      <c r="N36" s="10" t="n"/>
      <c r="O36" s="10" t="n"/>
      <c r="P36" s="10" t="n"/>
      <c r="Q36" s="12" t="inlineStr">
        <is>
          <t>B4</t>
        </is>
      </c>
      <c r="R36" s="11" t="inlineStr">
        <is>
          <t>T3</t>
        </is>
      </c>
      <c r="S36" s="10" t="n"/>
      <c r="T36" s="10" t="n"/>
      <c r="U36" s="10" t="n"/>
      <c r="V36" s="8" t="n"/>
      <c r="W36" s="10" t="n"/>
      <c r="X36" s="10" t="n"/>
      <c r="Y36" s="10" t="n"/>
      <c r="Z36" s="10" t="n"/>
      <c r="AA36" s="10" t="n"/>
      <c r="AB36" s="10" t="n"/>
      <c r="AC36" s="10" t="n"/>
      <c r="AD36" s="10" t="n"/>
      <c r="AE36" s="8" t="n"/>
      <c r="AF36" s="10" t="n"/>
      <c r="AG36" s="12" t="inlineStr">
        <is>
          <t>B4</t>
        </is>
      </c>
      <c r="AH36" s="12" t="inlineStr">
        <is>
          <t>T4</t>
        </is>
      </c>
      <c r="AI36" s="11" t="inlineStr">
        <is>
          <t>B3</t>
        </is>
      </c>
      <c r="AJ36" s="9" t="inlineStr">
        <is>
          <t>T2</t>
        </is>
      </c>
      <c r="AK36" s="8" t="n"/>
      <c r="AL36" s="9" t="inlineStr">
        <is>
          <t>T2</t>
        </is>
      </c>
      <c r="AM36" s="8" t="n"/>
      <c r="AN36" s="10" t="n"/>
      <c r="AO36" s="10" t="n"/>
      <c r="AP36" s="10" t="n"/>
      <c r="AQ36" s="10" t="n"/>
      <c r="AR36" s="10" t="n"/>
      <c r="AS36" s="10" t="n"/>
      <c r="AT36" s="10" t="n"/>
      <c r="AU36" s="10" t="n"/>
      <c r="AV36" s="10" t="n"/>
      <c r="AW36" s="8" t="n"/>
      <c r="AX36" s="10" t="n"/>
      <c r="AY36" s="8" t="n"/>
      <c r="AZ36" s="10" t="n"/>
      <c r="BA36" s="10" t="n"/>
      <c r="BB36" s="8" t="n"/>
    </row>
    <row r="37">
      <c r="A37" s="5" t="inlineStr">
        <is>
          <t>Foyen</t>
        </is>
      </c>
      <c r="B37" s="6" t="n">
        <v>20</v>
      </c>
      <c r="C37" s="6" t="n">
        <v>0</v>
      </c>
      <c r="D37" s="6" t="n">
        <v>6</v>
      </c>
      <c r="E37" s="10" t="n"/>
      <c r="F37" s="10" t="n"/>
      <c r="G37" s="10" t="n"/>
      <c r="H37" s="8" t="n"/>
      <c r="I37" s="10" t="n"/>
      <c r="J37" s="8" t="n"/>
      <c r="K37" s="10" t="n"/>
      <c r="L37" s="10" t="n"/>
      <c r="M37" s="10" t="n"/>
      <c r="N37" s="10" t="n"/>
      <c r="O37" s="10" t="n"/>
      <c r="P37" s="10" t="n"/>
      <c r="Q37" s="10" t="n"/>
      <c r="R37" s="12" t="inlineStr">
        <is>
          <t>T4</t>
        </is>
      </c>
      <c r="S37" s="10" t="n"/>
      <c r="T37" s="10" t="n"/>
      <c r="U37" s="10" t="n"/>
      <c r="V37" s="8" t="n"/>
      <c r="W37" s="10" t="n"/>
      <c r="X37" s="10" t="n"/>
      <c r="Y37" s="10" t="n"/>
      <c r="Z37" s="10" t="n"/>
      <c r="AA37" s="10" t="n"/>
      <c r="AB37" s="10" t="n"/>
      <c r="AC37" s="10" t="n"/>
      <c r="AD37" s="11" t="inlineStr">
        <is>
          <t>T3</t>
        </is>
      </c>
      <c r="AE37" s="8" t="n"/>
      <c r="AF37" s="9" t="inlineStr">
        <is>
          <t>T2</t>
        </is>
      </c>
      <c r="AG37" s="10" t="n"/>
      <c r="AH37" s="10" t="n"/>
      <c r="AI37" s="10" t="n"/>
      <c r="AJ37" s="10" t="n"/>
      <c r="AK37" s="8" t="n"/>
      <c r="AL37" s="10" t="n"/>
      <c r="AM37" s="8" t="n"/>
      <c r="AN37" s="10" t="n"/>
      <c r="AO37" s="10" t="n"/>
      <c r="AP37" s="9" t="inlineStr">
        <is>
          <t>T2</t>
        </is>
      </c>
      <c r="AQ37" s="10" t="n"/>
      <c r="AR37" s="9" t="inlineStr">
        <is>
          <t>T2</t>
        </is>
      </c>
      <c r="AS37" s="10" t="n"/>
      <c r="AT37" s="10" t="n"/>
      <c r="AU37" s="10" t="n"/>
      <c r="AV37" s="11" t="inlineStr">
        <is>
          <t>T3</t>
        </is>
      </c>
      <c r="AW37" s="8" t="n"/>
      <c r="AX37" s="10" t="n"/>
      <c r="AY37" s="8" t="n"/>
      <c r="AZ37" s="10" t="n"/>
      <c r="BA37" s="10" t="n"/>
      <c r="BB37" s="8" t="n"/>
    </row>
    <row r="38">
      <c r="A38" s="5" t="inlineStr">
        <is>
          <t>Bokwall Rislund</t>
        </is>
      </c>
      <c r="B38" s="6" t="n">
        <v>20</v>
      </c>
      <c r="C38" s="6" t="n">
        <v>2</v>
      </c>
      <c r="D38" s="6" t="n">
        <v>2</v>
      </c>
      <c r="E38" s="10" t="n"/>
      <c r="F38" s="10" t="n"/>
      <c r="G38" s="10" t="n"/>
      <c r="H38" s="8" t="n"/>
      <c r="I38" s="10" t="n"/>
      <c r="J38" s="8" t="n"/>
      <c r="K38" s="10" t="n"/>
      <c r="L38" s="10" t="n"/>
      <c r="M38" s="10" t="n"/>
      <c r="N38" s="10" t="n"/>
      <c r="O38" s="10" t="n"/>
      <c r="P38" s="10" t="n"/>
      <c r="Q38" s="10" t="n"/>
      <c r="R38" s="10" t="n"/>
      <c r="S38" s="10" t="n"/>
      <c r="T38" s="10" t="n"/>
      <c r="U38" s="10" t="n"/>
      <c r="V38" s="8" t="n"/>
      <c r="W38" s="7" t="inlineStr">
        <is>
          <t>B1</t>
        </is>
      </c>
      <c r="X38" s="7" t="inlineStr">
        <is>
          <t>T1</t>
        </is>
      </c>
      <c r="Y38" s="10" t="n"/>
      <c r="Z38" s="10" t="n"/>
      <c r="AA38" s="10" t="n"/>
      <c r="AB38" s="10" t="n"/>
      <c r="AC38" s="10" t="n"/>
      <c r="AD38" s="10" t="n"/>
      <c r="AE38" s="8" t="n"/>
      <c r="AF38" s="10" t="n"/>
      <c r="AG38" s="10" t="n"/>
      <c r="AH38" s="10" t="n"/>
      <c r="AI38" s="10" t="n"/>
      <c r="AJ38" s="10" t="n"/>
      <c r="AK38" s="8" t="n"/>
      <c r="AL38" s="10" t="n"/>
      <c r="AM38" s="8" t="n"/>
      <c r="AN38" s="10" t="n"/>
      <c r="AO38" s="10" t="n"/>
      <c r="AP38" s="10" t="n"/>
      <c r="AQ38" s="10" t="n"/>
      <c r="AR38" s="10" t="n"/>
      <c r="AS38" s="10" t="n"/>
      <c r="AT38" s="10" t="n"/>
      <c r="AU38" s="7" t="inlineStr">
        <is>
          <t>B1</t>
        </is>
      </c>
      <c r="AV38" s="7" t="inlineStr">
        <is>
          <t>T1</t>
        </is>
      </c>
      <c r="AW38" s="8" t="n"/>
      <c r="AX38" s="10" t="n"/>
      <c r="AY38" s="8" t="n"/>
      <c r="AZ38" s="10" t="n"/>
      <c r="BA38" s="10" t="n"/>
      <c r="BB38" s="8" t="n"/>
    </row>
    <row r="39">
      <c r="A39" s="5" t="inlineStr">
        <is>
          <t>Kilpatrick Townsend &amp; Stockton Advokat KB</t>
        </is>
      </c>
      <c r="B39" s="6" t="n">
        <v>17</v>
      </c>
      <c r="C39" s="6" t="n">
        <v>1</v>
      </c>
      <c r="D39" s="6" t="n">
        <v>5</v>
      </c>
      <c r="E39" s="10" t="n"/>
      <c r="F39" s="13" t="inlineStr">
        <is>
          <t>T5</t>
        </is>
      </c>
      <c r="G39" s="10" t="n"/>
      <c r="H39" s="8" t="n"/>
      <c r="I39" s="10" t="n"/>
      <c r="J39" s="8" t="n"/>
      <c r="K39" s="10" t="n"/>
      <c r="L39" s="10" t="n"/>
      <c r="M39" s="10" t="n"/>
      <c r="N39" s="10" t="n"/>
      <c r="O39" s="10" t="n"/>
      <c r="P39" s="10" t="n"/>
      <c r="Q39" s="10" t="n"/>
      <c r="R39" s="12" t="inlineStr">
        <is>
          <t>T4</t>
        </is>
      </c>
      <c r="S39" s="10" t="n"/>
      <c r="T39" s="10" t="n"/>
      <c r="U39" s="10" t="n"/>
      <c r="V39" s="8" t="n"/>
      <c r="W39" s="10" t="n"/>
      <c r="X39" s="10" t="n"/>
      <c r="Y39" s="10" t="n"/>
      <c r="Z39" s="10" t="n"/>
      <c r="AA39" s="10" t="n"/>
      <c r="AB39" s="10" t="n"/>
      <c r="AC39" s="11" t="inlineStr">
        <is>
          <t>B3</t>
        </is>
      </c>
      <c r="AD39" s="9" t="inlineStr">
        <is>
          <t>T2</t>
        </is>
      </c>
      <c r="AE39" s="8" t="n"/>
      <c r="AF39" s="9" t="inlineStr">
        <is>
          <t>T2</t>
        </is>
      </c>
      <c r="AG39" s="10" t="n"/>
      <c r="AH39" s="10" t="n"/>
      <c r="AI39" s="10" t="n"/>
      <c r="AJ39" s="10" t="n"/>
      <c r="AK39" s="8" t="n"/>
      <c r="AL39" s="10" t="n"/>
      <c r="AM39" s="8" t="n"/>
      <c r="AN39" s="10" t="n"/>
      <c r="AO39" s="10" t="n"/>
      <c r="AP39" s="10" t="n"/>
      <c r="AQ39" s="10" t="n"/>
      <c r="AR39" s="10" t="n"/>
      <c r="AS39" s="10" t="n"/>
      <c r="AT39" s="10" t="n"/>
      <c r="AU39" s="10" t="n"/>
      <c r="AV39" s="11" t="inlineStr">
        <is>
          <t>T3</t>
        </is>
      </c>
      <c r="AW39" s="8" t="n"/>
      <c r="AX39" s="10" t="n"/>
      <c r="AY39" s="8" t="n"/>
      <c r="AZ39" s="10" t="n"/>
      <c r="BA39" s="10" t="n"/>
      <c r="BB39" s="8" t="n"/>
    </row>
    <row r="40">
      <c r="A40" s="5" t="inlineStr">
        <is>
          <t>AG Advokat</t>
        </is>
      </c>
      <c r="B40" s="6" t="n">
        <v>14</v>
      </c>
      <c r="C40" s="6" t="n">
        <v>1</v>
      </c>
      <c r="D40" s="6" t="n">
        <v>3</v>
      </c>
      <c r="E40" s="10" t="n"/>
      <c r="F40" s="10" t="n"/>
      <c r="G40" s="10" t="n"/>
      <c r="H40" s="8" t="n"/>
      <c r="I40" s="10" t="n"/>
      <c r="J40" s="8" t="n"/>
      <c r="K40" s="10" t="n"/>
      <c r="L40" s="10" t="n"/>
      <c r="M40" s="10" t="n"/>
      <c r="N40" s="10" t="n"/>
      <c r="O40" s="10" t="n"/>
      <c r="P40" s="10" t="n"/>
      <c r="Q40" s="10" t="n"/>
      <c r="R40" s="10" t="n"/>
      <c r="S40" s="10" t="n"/>
      <c r="T40" s="10" t="n"/>
      <c r="U40" s="10" t="n"/>
      <c r="V40" s="8" t="n"/>
      <c r="W40" s="10" t="n"/>
      <c r="X40" s="10" t="n"/>
      <c r="Y40" s="10" t="n"/>
      <c r="Z40" s="10" t="n"/>
      <c r="AA40" s="10" t="n"/>
      <c r="AB40" s="10" t="n"/>
      <c r="AC40" s="12" t="inlineStr">
        <is>
          <t>B4</t>
        </is>
      </c>
      <c r="AD40" s="7" t="inlineStr">
        <is>
          <t>T1</t>
        </is>
      </c>
      <c r="AE40" s="8" t="n"/>
      <c r="AF40" s="9" t="inlineStr">
        <is>
          <t>T2</t>
        </is>
      </c>
      <c r="AG40" s="10" t="n"/>
      <c r="AH40" s="10" t="n"/>
      <c r="AI40" s="10" t="n"/>
      <c r="AJ40" s="10" t="n"/>
      <c r="AK40" s="8" t="n"/>
      <c r="AL40" s="10" t="n"/>
      <c r="AM40" s="8" t="n"/>
      <c r="AN40" s="10" t="n"/>
      <c r="AO40" s="10" t="n"/>
      <c r="AP40" s="10" t="n"/>
      <c r="AQ40" s="10" t="n"/>
      <c r="AR40" s="10" t="n"/>
      <c r="AS40" s="10" t="n"/>
      <c r="AT40" s="10" t="n"/>
      <c r="AU40" s="10" t="n"/>
      <c r="AV40" s="11" t="inlineStr">
        <is>
          <t>T3</t>
        </is>
      </c>
      <c r="AW40" s="8" t="n"/>
      <c r="AX40" s="10" t="n"/>
      <c r="AY40" s="8" t="n"/>
      <c r="AZ40" s="10" t="n"/>
      <c r="BA40" s="10" t="n"/>
      <c r="BB40" s="8" t="n"/>
    </row>
    <row r="41">
      <c r="A41" s="5" t="inlineStr">
        <is>
          <t>Sandart &amp; Partners</t>
        </is>
      </c>
      <c r="B41" s="6" t="n">
        <v>13</v>
      </c>
      <c r="C41" s="6" t="n">
        <v>2</v>
      </c>
      <c r="D41" s="6" t="n">
        <v>2</v>
      </c>
      <c r="E41" s="10" t="n"/>
      <c r="F41" s="10" t="n"/>
      <c r="G41" s="10" t="n"/>
      <c r="H41" s="8" t="n"/>
      <c r="I41" s="10" t="n"/>
      <c r="J41" s="8" t="n"/>
      <c r="K41" s="10" t="n"/>
      <c r="L41" s="10" t="n"/>
      <c r="M41" s="10" t="n"/>
      <c r="N41" s="10" t="n"/>
      <c r="O41" s="10" t="n"/>
      <c r="P41" s="10" t="n"/>
      <c r="Q41" s="13" t="inlineStr">
        <is>
          <t>B5</t>
        </is>
      </c>
      <c r="R41" s="12" t="inlineStr">
        <is>
          <t>T4</t>
        </is>
      </c>
      <c r="S41" s="10" t="n"/>
      <c r="T41" s="10" t="n"/>
      <c r="U41" s="10" t="n"/>
      <c r="V41" s="8" t="n"/>
      <c r="W41" s="10" t="n"/>
      <c r="X41" s="10" t="n"/>
      <c r="Y41" s="10" t="n"/>
      <c r="Z41" s="10" t="n"/>
      <c r="AA41" s="10" t="n"/>
      <c r="AB41" s="10" t="n"/>
      <c r="AC41" s="10" t="n"/>
      <c r="AD41" s="10" t="n"/>
      <c r="AE41" s="8" t="n"/>
      <c r="AF41" s="10" t="n"/>
      <c r="AG41" s="7" t="inlineStr">
        <is>
          <t>B1</t>
        </is>
      </c>
      <c r="AH41" s="7" t="inlineStr">
        <is>
          <t>T1</t>
        </is>
      </c>
      <c r="AI41" s="10" t="n"/>
      <c r="AJ41" s="10" t="n"/>
      <c r="AK41" s="8" t="n"/>
      <c r="AL41" s="10" t="n"/>
      <c r="AM41" s="8" t="n"/>
      <c r="AN41" s="10" t="n"/>
      <c r="AO41" s="10" t="n"/>
      <c r="AP41" s="10" t="n"/>
      <c r="AQ41" s="10" t="n"/>
      <c r="AR41" s="10" t="n"/>
      <c r="AS41" s="10" t="n"/>
      <c r="AT41" s="10" t="n"/>
      <c r="AU41" s="10" t="n"/>
      <c r="AV41" s="10" t="n"/>
      <c r="AW41" s="8" t="n"/>
      <c r="AX41" s="10" t="n"/>
      <c r="AY41" s="8" t="n"/>
      <c r="AZ41" s="10" t="n"/>
      <c r="BA41" s="10" t="n"/>
      <c r="BB41" s="8" t="n"/>
    </row>
    <row r="42">
      <c r="A42" s="5" t="inlineStr">
        <is>
          <t>Nordia Law</t>
        </is>
      </c>
      <c r="B42" s="6" t="n">
        <v>12</v>
      </c>
      <c r="C42" s="6" t="n">
        <v>1</v>
      </c>
      <c r="D42" s="6" t="n">
        <v>4</v>
      </c>
      <c r="E42" s="10" t="n"/>
      <c r="F42" s="10" t="n"/>
      <c r="G42" s="10" t="n"/>
      <c r="H42" s="8" t="n"/>
      <c r="I42" s="10" t="n"/>
      <c r="J42" s="8" t="n"/>
      <c r="K42" s="10" t="n"/>
      <c r="L42" s="10" t="n"/>
      <c r="M42" s="10" t="n"/>
      <c r="N42" s="10" t="n"/>
      <c r="O42" s="10" t="n"/>
      <c r="P42" s="10" t="n"/>
      <c r="Q42" s="10" t="n"/>
      <c r="R42" s="12" t="inlineStr">
        <is>
          <t>T4</t>
        </is>
      </c>
      <c r="S42" s="10" t="n"/>
      <c r="T42" s="10" t="n"/>
      <c r="U42" s="10" t="n"/>
      <c r="V42" s="8" t="n"/>
      <c r="W42" s="10" t="n"/>
      <c r="X42" s="10" t="n"/>
      <c r="Y42" s="10" t="n"/>
      <c r="Z42" s="10" t="n"/>
      <c r="AA42" s="10" t="n"/>
      <c r="AB42" s="10" t="n"/>
      <c r="AC42" s="10" t="n"/>
      <c r="AD42" s="10" t="n"/>
      <c r="AE42" s="8" t="n"/>
      <c r="AF42" s="12" t="inlineStr">
        <is>
          <t>T4</t>
        </is>
      </c>
      <c r="AG42" s="10" t="n"/>
      <c r="AH42" s="13" t="inlineStr">
        <is>
          <t>T5</t>
        </is>
      </c>
      <c r="AI42" s="10" t="n"/>
      <c r="AJ42" s="10" t="n"/>
      <c r="AK42" s="8" t="n"/>
      <c r="AL42" s="10" t="n"/>
      <c r="AM42" s="8" t="n"/>
      <c r="AN42" s="10" t="n"/>
      <c r="AO42" s="10" t="n"/>
      <c r="AP42" s="10" t="n"/>
      <c r="AQ42" s="10" t="n"/>
      <c r="AR42" s="10" t="n"/>
      <c r="AS42" s="11" t="inlineStr">
        <is>
          <t>B3</t>
        </is>
      </c>
      <c r="AT42" s="9" t="inlineStr">
        <is>
          <t>T2</t>
        </is>
      </c>
      <c r="AU42" s="10" t="n"/>
      <c r="AV42" s="10" t="n"/>
      <c r="AW42" s="8" t="n"/>
      <c r="AX42" s="10" t="n"/>
      <c r="AY42" s="8" t="n"/>
      <c r="AZ42" s="10" t="n"/>
      <c r="BA42" s="10" t="n"/>
      <c r="BB42" s="8" t="n"/>
    </row>
    <row r="43">
      <c r="A43" s="5" t="inlineStr">
        <is>
          <t>Next Law</t>
        </is>
      </c>
      <c r="B43" s="6" t="n">
        <v>12</v>
      </c>
      <c r="C43" s="6" t="n">
        <v>1</v>
      </c>
      <c r="D43" s="6" t="n">
        <v>4</v>
      </c>
      <c r="E43" s="10" t="n"/>
      <c r="F43" s="10" t="n"/>
      <c r="G43" s="10" t="n"/>
      <c r="H43" s="8" t="n"/>
      <c r="I43" s="10" t="n"/>
      <c r="J43" s="8" t="n"/>
      <c r="K43" s="10" t="n"/>
      <c r="L43" s="10" t="n"/>
      <c r="M43" s="10" t="n"/>
      <c r="N43" s="10" t="n"/>
      <c r="O43" s="10" t="n"/>
      <c r="P43" s="10" t="n"/>
      <c r="Q43" s="10" t="n"/>
      <c r="R43" s="10" t="n"/>
      <c r="S43" s="10" t="n"/>
      <c r="T43" s="10" t="n"/>
      <c r="U43" s="10" t="n"/>
      <c r="V43" s="8" t="n"/>
      <c r="W43" s="10" t="n"/>
      <c r="X43" s="10" t="n"/>
      <c r="Y43" s="12" t="inlineStr">
        <is>
          <t>B4</t>
        </is>
      </c>
      <c r="Z43" s="12" t="inlineStr">
        <is>
          <t>T4</t>
        </is>
      </c>
      <c r="AA43" s="10" t="n"/>
      <c r="AB43" s="10" t="n"/>
      <c r="AC43" s="10" t="n"/>
      <c r="AD43" s="10" t="n"/>
      <c r="AE43" s="8" t="n"/>
      <c r="AF43" s="10" t="n"/>
      <c r="AG43" s="10" t="n"/>
      <c r="AH43" s="13" t="inlineStr">
        <is>
          <t>T5</t>
        </is>
      </c>
      <c r="AI43" s="10" t="n"/>
      <c r="AJ43" s="10" t="n"/>
      <c r="AK43" s="8" t="n"/>
      <c r="AL43" s="10" t="n"/>
      <c r="AM43" s="8" t="n"/>
      <c r="AN43" s="10" t="n"/>
      <c r="AO43" s="10" t="n"/>
      <c r="AP43" s="10" t="n"/>
      <c r="AQ43" s="10" t="n"/>
      <c r="AR43" s="10" t="n"/>
      <c r="AS43" s="10" t="n"/>
      <c r="AT43" s="11" t="inlineStr">
        <is>
          <t>T3</t>
        </is>
      </c>
      <c r="AU43" s="10" t="n"/>
      <c r="AV43" s="10" t="n"/>
      <c r="AW43" s="8" t="n"/>
      <c r="AX43" s="10" t="n"/>
      <c r="AY43" s="8" t="n"/>
      <c r="AZ43" s="9" t="inlineStr">
        <is>
          <t>T2</t>
        </is>
      </c>
      <c r="BA43" s="10" t="n"/>
      <c r="BB43" s="8" t="n"/>
    </row>
    <row r="44">
      <c r="A44" s="5" t="inlineStr">
        <is>
          <t>Brick</t>
        </is>
      </c>
      <c r="B44" s="6" t="n">
        <v>10</v>
      </c>
      <c r="C44" s="6" t="n">
        <v>1</v>
      </c>
      <c r="D44" s="6" t="n">
        <v>2</v>
      </c>
      <c r="E44" s="10" t="n"/>
      <c r="F44" s="10" t="n"/>
      <c r="G44" s="10" t="n"/>
      <c r="H44" s="8" t="n"/>
      <c r="I44" s="10" t="n"/>
      <c r="J44" s="8" t="n"/>
      <c r="K44" s="10" t="n"/>
      <c r="L44" s="10" t="n"/>
      <c r="M44" s="10" t="n"/>
      <c r="N44" s="10" t="n"/>
      <c r="O44" s="10" t="n"/>
      <c r="P44" s="10" t="n"/>
      <c r="Q44" s="10" t="n"/>
      <c r="R44" s="10" t="n"/>
      <c r="S44" s="10" t="n"/>
      <c r="T44" s="10" t="n"/>
      <c r="U44" s="10" t="n"/>
      <c r="V44" s="8" t="n"/>
      <c r="W44" s="10" t="n"/>
      <c r="X44" s="10" t="n"/>
      <c r="Y44" s="10" t="n"/>
      <c r="Z44" s="10" t="n"/>
      <c r="AA44" s="10" t="n"/>
      <c r="AB44" s="10" t="n"/>
      <c r="AC44" s="11" t="inlineStr">
        <is>
          <t>B3</t>
        </is>
      </c>
      <c r="AD44" s="9" t="inlineStr">
        <is>
          <t>T2</t>
        </is>
      </c>
      <c r="AE44" s="8" t="n"/>
      <c r="AF44" s="11" t="inlineStr">
        <is>
          <t>T3</t>
        </is>
      </c>
      <c r="AG44" s="10" t="n"/>
      <c r="AH44" s="10" t="n"/>
      <c r="AI44" s="10" t="n"/>
      <c r="AJ44" s="10" t="n"/>
      <c r="AK44" s="8" t="n"/>
      <c r="AL44" s="10" t="n"/>
      <c r="AM44" s="8" t="n"/>
      <c r="AN44" s="10" t="n"/>
      <c r="AO44" s="10" t="n"/>
      <c r="AP44" s="10" t="n"/>
      <c r="AQ44" s="10" t="n"/>
      <c r="AR44" s="10" t="n"/>
      <c r="AS44" s="10" t="n"/>
      <c r="AT44" s="10" t="n"/>
      <c r="AU44" s="10" t="n"/>
      <c r="AV44" s="10" t="n"/>
      <c r="AW44" s="8" t="n"/>
      <c r="AX44" s="10" t="n"/>
      <c r="AY44" s="8" t="n"/>
      <c r="AZ44" s="10" t="n"/>
      <c r="BA44" s="10" t="n"/>
      <c r="BB44" s="8" t="n"/>
    </row>
    <row r="45">
      <c r="A45" s="5" t="inlineStr">
        <is>
          <t>Fröberg &amp; Lundholm</t>
        </is>
      </c>
      <c r="B45" s="6" t="n">
        <v>9</v>
      </c>
      <c r="C45" s="6" t="n">
        <v>1</v>
      </c>
      <c r="D45" s="6" t="n">
        <v>1</v>
      </c>
      <c r="E45" s="10" t="n"/>
      <c r="F45" s="10" t="n"/>
      <c r="G45" s="10" t="n"/>
      <c r="H45" s="8" t="n"/>
      <c r="I45" s="10" t="n"/>
      <c r="J45" s="8" t="n"/>
      <c r="K45" s="10" t="n"/>
      <c r="L45" s="10" t="n"/>
      <c r="M45" s="10" t="n"/>
      <c r="N45" s="10" t="n"/>
      <c r="O45" s="10" t="n"/>
      <c r="P45" s="10" t="n"/>
      <c r="Q45" s="10" t="n"/>
      <c r="R45" s="10" t="n"/>
      <c r="S45" s="10" t="n"/>
      <c r="T45" s="10" t="n"/>
      <c r="U45" s="10" t="n"/>
      <c r="V45" s="8" t="n"/>
      <c r="W45" s="10" t="n"/>
      <c r="X45" s="10" t="n"/>
      <c r="Y45" s="10" t="n"/>
      <c r="Z45" s="10" t="n"/>
      <c r="AA45" s="10" t="n"/>
      <c r="AB45" s="10" t="n"/>
      <c r="AC45" s="10" t="n"/>
      <c r="AD45" s="10" t="n"/>
      <c r="AE45" s="8" t="n"/>
      <c r="AF45" s="10" t="n"/>
      <c r="AG45" s="10" t="n"/>
      <c r="AH45" s="10" t="n"/>
      <c r="AI45" s="10" t="n"/>
      <c r="AJ45" s="10" t="n"/>
      <c r="AK45" s="8" t="n"/>
      <c r="AL45" s="10" t="n"/>
      <c r="AM45" s="8" t="n"/>
      <c r="AN45" s="10" t="n"/>
      <c r="AO45" s="10" t="n"/>
      <c r="AP45" s="10" t="n"/>
      <c r="AQ45" s="7" t="inlineStr">
        <is>
          <t>B1</t>
        </is>
      </c>
      <c r="AR45" s="9" t="inlineStr">
        <is>
          <t>T2</t>
        </is>
      </c>
      <c r="AS45" s="10" t="n"/>
      <c r="AT45" s="10" t="n"/>
      <c r="AU45" s="10" t="n"/>
      <c r="AV45" s="10" t="n"/>
      <c r="AW45" s="8" t="n"/>
      <c r="AX45" s="10" t="n"/>
      <c r="AY45" s="8" t="n"/>
      <c r="AZ45" s="10" t="n"/>
      <c r="BA45" s="10" t="n"/>
      <c r="BB45" s="8" t="n"/>
    </row>
    <row r="46">
      <c r="A46" s="5" t="inlineStr">
        <is>
          <t>Elmzell</t>
        </is>
      </c>
      <c r="B46" s="6" t="n">
        <v>8</v>
      </c>
      <c r="C46" s="6" t="n">
        <v>1</v>
      </c>
      <c r="D46" s="6" t="n">
        <v>1</v>
      </c>
      <c r="E46" s="10" t="n"/>
      <c r="F46" s="10" t="n"/>
      <c r="G46" s="10" t="n"/>
      <c r="H46" s="8" t="n"/>
      <c r="I46" s="10" t="n"/>
      <c r="J46" s="8" t="n"/>
      <c r="K46" s="10" t="n"/>
      <c r="L46" s="10" t="n"/>
      <c r="M46" s="10" t="n"/>
      <c r="N46" s="10" t="n"/>
      <c r="O46" s="10" t="n"/>
      <c r="P46" s="10" t="n"/>
      <c r="Q46" s="10" t="n"/>
      <c r="R46" s="10" t="n"/>
      <c r="S46" s="10" t="n"/>
      <c r="T46" s="10" t="n"/>
      <c r="U46" s="10" t="n"/>
      <c r="V46" s="8" t="n"/>
      <c r="W46" s="10" t="n"/>
      <c r="X46" s="10" t="n"/>
      <c r="Y46" s="9" t="inlineStr">
        <is>
          <t>B2</t>
        </is>
      </c>
      <c r="Z46" s="9" t="inlineStr">
        <is>
          <t>T2</t>
        </is>
      </c>
      <c r="AA46" s="10" t="n"/>
      <c r="AB46" s="10" t="n"/>
      <c r="AC46" s="10" t="n"/>
      <c r="AD46" s="10" t="n"/>
      <c r="AE46" s="8" t="n"/>
      <c r="AF46" s="10" t="n"/>
      <c r="AG46" s="10" t="n"/>
      <c r="AH46" s="10" t="n"/>
      <c r="AI46" s="10" t="n"/>
      <c r="AJ46" s="10" t="n"/>
      <c r="AK46" s="8" t="n"/>
      <c r="AL46" s="10" t="n"/>
      <c r="AM46" s="8" t="n"/>
      <c r="AN46" s="10" t="n"/>
      <c r="AO46" s="10" t="n"/>
      <c r="AP46" s="10" t="n"/>
      <c r="AQ46" s="10" t="n"/>
      <c r="AR46" s="10" t="n"/>
      <c r="AS46" s="10" t="n"/>
      <c r="AT46" s="10" t="n"/>
      <c r="AU46" s="10" t="n"/>
      <c r="AV46" s="10" t="n"/>
      <c r="AW46" s="8" t="n"/>
      <c r="AX46" s="10" t="n"/>
      <c r="AY46" s="8" t="n"/>
      <c r="AZ46" s="10" t="n"/>
      <c r="BA46" s="10" t="n"/>
      <c r="BB46" s="8" t="n"/>
    </row>
    <row r="47">
      <c r="A47" s="5" t="inlineStr">
        <is>
          <t>Kompass</t>
        </is>
      </c>
      <c r="B47" s="6" t="n">
        <v>8</v>
      </c>
      <c r="C47" s="6" t="n">
        <v>2</v>
      </c>
      <c r="D47" s="6" t="n">
        <v>1</v>
      </c>
      <c r="E47" s="10" t="n"/>
      <c r="F47" s="10" t="n"/>
      <c r="G47" s="10" t="n"/>
      <c r="H47" s="8" t="n"/>
      <c r="I47" s="10" t="n"/>
      <c r="J47" s="8" t="n"/>
      <c r="K47" s="10" t="n"/>
      <c r="L47" s="10" t="n"/>
      <c r="M47" s="10" t="n"/>
      <c r="N47" s="10" t="n"/>
      <c r="O47" s="10" t="n"/>
      <c r="P47" s="10" t="n"/>
      <c r="Q47" s="10" t="n"/>
      <c r="R47" s="10" t="n"/>
      <c r="S47" s="10" t="n"/>
      <c r="T47" s="10" t="n"/>
      <c r="U47" s="10" t="n"/>
      <c r="V47" s="8" t="n"/>
      <c r="W47" s="10" t="n"/>
      <c r="X47" s="10" t="n"/>
      <c r="Y47" s="10" t="n"/>
      <c r="Z47" s="10" t="n"/>
      <c r="AA47" s="10" t="n"/>
      <c r="AB47" s="10" t="n"/>
      <c r="AC47" s="10" t="n"/>
      <c r="AD47" s="10" t="n"/>
      <c r="AE47" s="8" t="n"/>
      <c r="AF47" s="10" t="n"/>
      <c r="AG47" s="10" t="n"/>
      <c r="AH47" s="10" t="n"/>
      <c r="AI47" s="12" t="inlineStr">
        <is>
          <t>B4</t>
        </is>
      </c>
      <c r="AJ47" s="10" t="n"/>
      <c r="AK47" s="8" t="n"/>
      <c r="AL47" s="10" t="n"/>
      <c r="AM47" s="8" t="n"/>
      <c r="AN47" s="10" t="n"/>
      <c r="AO47" s="10" t="n"/>
      <c r="AP47" s="10" t="n"/>
      <c r="AQ47" s="10" t="n"/>
      <c r="AR47" s="10" t="n"/>
      <c r="AS47" s="11" t="inlineStr">
        <is>
          <t>B3</t>
        </is>
      </c>
      <c r="AT47" s="11" t="inlineStr">
        <is>
          <t>T3</t>
        </is>
      </c>
      <c r="AU47" s="10" t="n"/>
      <c r="AV47" s="10" t="n"/>
      <c r="AW47" s="8" t="n"/>
      <c r="AX47" s="10" t="n"/>
      <c r="AY47" s="8" t="n"/>
      <c r="AZ47" s="10" t="n"/>
      <c r="BA47" s="10" t="n"/>
      <c r="BB47" s="8" t="n"/>
    </row>
    <row r="48">
      <c r="A48" s="5" t="inlineStr">
        <is>
          <t>BAHR</t>
        </is>
      </c>
      <c r="B48" s="6" t="n">
        <v>7</v>
      </c>
      <c r="C48" s="6" t="n">
        <v>4</v>
      </c>
      <c r="D48" s="6" t="n">
        <v>2</v>
      </c>
      <c r="E48" s="13" t="inlineStr">
        <is>
          <t>B5</t>
        </is>
      </c>
      <c r="F48" s="10" t="n"/>
      <c r="G48" s="10" t="n"/>
      <c r="H48" s="8" t="n"/>
      <c r="I48" s="10" t="n"/>
      <c r="J48" s="8" t="n"/>
      <c r="K48" s="12" t="inlineStr">
        <is>
          <t>B4</t>
        </is>
      </c>
      <c r="L48" s="10" t="inlineStr">
        <is>
          <t>FTW</t>
        </is>
      </c>
      <c r="M48" s="12" t="inlineStr">
        <is>
          <t>B4</t>
        </is>
      </c>
      <c r="N48" s="10" t="n"/>
      <c r="O48" s="10" t="n"/>
      <c r="P48" s="10" t="inlineStr">
        <is>
          <t>FTW</t>
        </is>
      </c>
      <c r="Q48" s="13" t="inlineStr">
        <is>
          <t>B5</t>
        </is>
      </c>
      <c r="R48" s="10" t="n"/>
      <c r="S48" s="10" t="n"/>
      <c r="T48" s="10" t="n"/>
      <c r="U48" s="10" t="n"/>
      <c r="V48" s="8" t="n"/>
      <c r="W48" s="10" t="n"/>
      <c r="X48" s="10" t="n"/>
      <c r="Y48" s="10" t="n"/>
      <c r="Z48" s="10" t="n"/>
      <c r="AA48" s="10" t="n"/>
      <c r="AB48" s="10" t="n"/>
      <c r="AC48" s="10" t="n"/>
      <c r="AD48" s="10" t="n"/>
      <c r="AE48" s="8" t="n"/>
      <c r="AF48" s="10" t="n"/>
      <c r="AG48" s="10" t="n"/>
      <c r="AH48" s="10" t="n"/>
      <c r="AI48" s="10" t="n"/>
      <c r="AJ48" s="10" t="n"/>
      <c r="AK48" s="8" t="n"/>
      <c r="AL48" s="10" t="n"/>
      <c r="AM48" s="8" t="n"/>
      <c r="AN48" s="10" t="n"/>
      <c r="AO48" s="10" t="n"/>
      <c r="AP48" s="10" t="n"/>
      <c r="AQ48" s="10" t="n"/>
      <c r="AR48" s="10" t="n"/>
      <c r="AS48" s="10" t="n"/>
      <c r="AT48" s="10" t="n"/>
      <c r="AU48" s="10" t="n"/>
      <c r="AV48" s="10" t="n"/>
      <c r="AW48" s="8" t="n"/>
      <c r="AX48" s="10" t="n"/>
      <c r="AY48" s="8" t="n"/>
      <c r="AZ48" s="10" t="n"/>
      <c r="BA48" s="10" t="n"/>
      <c r="BB48" s="8" t="n"/>
    </row>
    <row r="49">
      <c r="A49" s="5" t="inlineStr">
        <is>
          <t>edpLaw</t>
        </is>
      </c>
      <c r="B49" s="6" t="n">
        <v>7</v>
      </c>
      <c r="C49" s="6" t="n">
        <v>0</v>
      </c>
      <c r="D49" s="6" t="n">
        <v>2</v>
      </c>
      <c r="E49" s="10" t="n"/>
      <c r="F49" s="10" t="n"/>
      <c r="G49" s="10" t="n"/>
      <c r="H49" s="8" t="n"/>
      <c r="I49" s="10" t="n"/>
      <c r="J49" s="8" t="n"/>
      <c r="K49" s="10" t="n"/>
      <c r="L49" s="10" t="n"/>
      <c r="M49" s="10" t="n"/>
      <c r="N49" s="10" t="n"/>
      <c r="O49" s="10" t="n"/>
      <c r="P49" s="10" t="n"/>
      <c r="Q49" s="10" t="n"/>
      <c r="R49" s="10" t="n"/>
      <c r="S49" s="10" t="n"/>
      <c r="T49" s="10" t="n"/>
      <c r="U49" s="10" t="n"/>
      <c r="V49" s="8" t="n"/>
      <c r="W49" s="10" t="n"/>
      <c r="X49" s="10" t="n"/>
      <c r="Y49" s="10" t="n"/>
      <c r="Z49" s="11" t="inlineStr">
        <is>
          <t>T3</t>
        </is>
      </c>
      <c r="AA49" s="10" t="n"/>
      <c r="AB49" s="10" t="n"/>
      <c r="AC49" s="10" t="n"/>
      <c r="AD49" s="10" t="n"/>
      <c r="AE49" s="8" t="n"/>
      <c r="AF49" s="10" t="n"/>
      <c r="AG49" s="10" t="n"/>
      <c r="AH49" s="10" t="n"/>
      <c r="AI49" s="10" t="n"/>
      <c r="AJ49" s="10" t="n"/>
      <c r="AK49" s="8" t="n"/>
      <c r="AL49" s="9" t="inlineStr">
        <is>
          <t>T2</t>
        </is>
      </c>
      <c r="AM49" s="8" t="n"/>
      <c r="AN49" s="10" t="n"/>
      <c r="AO49" s="10" t="n"/>
      <c r="AP49" s="10" t="n"/>
      <c r="AQ49" s="10" t="n"/>
      <c r="AR49" s="10" t="n"/>
      <c r="AS49" s="10" t="n"/>
      <c r="AT49" s="10" t="n"/>
      <c r="AU49" s="10" t="n"/>
      <c r="AV49" s="10" t="n"/>
      <c r="AW49" s="8" t="n"/>
      <c r="AX49" s="10" t="n"/>
      <c r="AY49" s="8" t="n"/>
      <c r="AZ49" s="10" t="n"/>
      <c r="BA49" s="10" t="n"/>
      <c r="BB49" s="8" t="n"/>
    </row>
    <row r="50">
      <c r="A50" s="5" t="inlineStr">
        <is>
          <t>REAL Advokatbyrå</t>
        </is>
      </c>
      <c r="B50" s="6" t="n">
        <v>7</v>
      </c>
      <c r="C50" s="6" t="n">
        <v>1</v>
      </c>
      <c r="D50" s="6" t="n">
        <v>1</v>
      </c>
      <c r="E50" s="10" t="n"/>
      <c r="F50" s="10" t="n"/>
      <c r="G50" s="10" t="n"/>
      <c r="H50" s="8" t="n"/>
      <c r="I50" s="10" t="n"/>
      <c r="J50" s="8" t="n"/>
      <c r="K50" s="10" t="n"/>
      <c r="L50" s="10" t="n"/>
      <c r="M50" s="10" t="n"/>
      <c r="N50" s="10" t="n"/>
      <c r="O50" s="10" t="n"/>
      <c r="P50" s="10" t="n"/>
      <c r="Q50" s="10" t="n"/>
      <c r="R50" s="10" t="n"/>
      <c r="S50" s="10" t="n"/>
      <c r="T50" s="10" t="n"/>
      <c r="U50" s="10" t="n"/>
      <c r="V50" s="8" t="n"/>
      <c r="W50" s="10" t="n"/>
      <c r="X50" s="10" t="n"/>
      <c r="Y50" s="10" t="n"/>
      <c r="Z50" s="10" t="n"/>
      <c r="AA50" s="10" t="n"/>
      <c r="AB50" s="10" t="n"/>
      <c r="AC50" s="11" t="inlineStr">
        <is>
          <t>B3</t>
        </is>
      </c>
      <c r="AD50" s="9" t="inlineStr">
        <is>
          <t>T2</t>
        </is>
      </c>
      <c r="AE50" s="8" t="n"/>
      <c r="AF50" s="10" t="n"/>
      <c r="AG50" s="10" t="n"/>
      <c r="AH50" s="10" t="n"/>
      <c r="AI50" s="10" t="n"/>
      <c r="AJ50" s="10" t="n"/>
      <c r="AK50" s="8" t="n"/>
      <c r="AL50" s="10" t="n"/>
      <c r="AM50" s="8" t="n"/>
      <c r="AN50" s="10" t="n"/>
      <c r="AO50" s="10" t="n"/>
      <c r="AP50" s="10" t="n"/>
      <c r="AQ50" s="10" t="n"/>
      <c r="AR50" s="10" t="n"/>
      <c r="AS50" s="10" t="n"/>
      <c r="AT50" s="10" t="n"/>
      <c r="AU50" s="10" t="n"/>
      <c r="AV50" s="10" t="n"/>
      <c r="AW50" s="8" t="n"/>
      <c r="AX50" s="10" t="n"/>
      <c r="AY50" s="8" t="n"/>
      <c r="AZ50" s="10" t="n"/>
      <c r="BA50" s="10" t="n"/>
      <c r="BB50" s="8" t="n"/>
    </row>
    <row r="51">
      <c r="A51" s="5" t="inlineStr">
        <is>
          <t>Ström</t>
        </is>
      </c>
      <c r="B51" s="6" t="n">
        <v>7</v>
      </c>
      <c r="C51" s="6" t="n">
        <v>1</v>
      </c>
      <c r="D51" s="6" t="n">
        <v>1</v>
      </c>
      <c r="E51" s="10" t="n"/>
      <c r="F51" s="10" t="n"/>
      <c r="G51" s="10" t="n"/>
      <c r="H51" s="8" t="n"/>
      <c r="I51" s="10" t="n"/>
      <c r="J51" s="8" t="n"/>
      <c r="K51" s="10" t="n"/>
      <c r="L51" s="10" t="n"/>
      <c r="M51" s="10" t="n"/>
      <c r="N51" s="10" t="n"/>
      <c r="O51" s="10" t="n"/>
      <c r="P51" s="10" t="n"/>
      <c r="Q51" s="10" t="n"/>
      <c r="R51" s="10" t="n"/>
      <c r="S51" s="10" t="n"/>
      <c r="T51" s="10" t="n"/>
      <c r="U51" s="10" t="n"/>
      <c r="V51" s="8" t="n"/>
      <c r="W51" s="10" t="n"/>
      <c r="X51" s="10" t="n"/>
      <c r="Y51" s="10" t="n"/>
      <c r="Z51" s="10" t="n"/>
      <c r="AA51" s="10" t="n"/>
      <c r="AB51" s="10" t="n"/>
      <c r="AC51" s="10" t="n"/>
      <c r="AD51" s="10" t="n"/>
      <c r="AE51" s="8" t="n"/>
      <c r="AF51" s="10" t="n"/>
      <c r="AG51" s="11" t="inlineStr">
        <is>
          <t>B3</t>
        </is>
      </c>
      <c r="AH51" s="9" t="inlineStr">
        <is>
          <t>T2</t>
        </is>
      </c>
      <c r="AI51" s="10" t="n"/>
      <c r="AJ51" s="10" t="n"/>
      <c r="AK51" s="8" t="n"/>
      <c r="AL51" s="10" t="n"/>
      <c r="AM51" s="8" t="n"/>
      <c r="AN51" s="10" t="n"/>
      <c r="AO51" s="10" t="n"/>
      <c r="AP51" s="10" t="n"/>
      <c r="AQ51" s="10" t="n"/>
      <c r="AR51" s="10" t="n"/>
      <c r="AS51" s="10" t="n"/>
      <c r="AT51" s="10" t="n"/>
      <c r="AU51" s="10" t="n"/>
      <c r="AV51" s="10" t="n"/>
      <c r="AW51" s="8" t="n"/>
      <c r="AX51" s="10" t="n"/>
      <c r="AY51" s="8" t="n"/>
      <c r="AZ51" s="10" t="n"/>
      <c r="BA51" s="10" t="n"/>
      <c r="BB51" s="8" t="n"/>
    </row>
    <row r="52">
      <c r="A52" s="5" t="inlineStr">
        <is>
          <t>Ulfsdotter</t>
        </is>
      </c>
      <c r="B52" s="6" t="n">
        <v>7</v>
      </c>
      <c r="C52" s="6" t="n">
        <v>1</v>
      </c>
      <c r="D52" s="6" t="n">
        <v>1</v>
      </c>
      <c r="E52" s="10" t="n"/>
      <c r="F52" s="10" t="n"/>
      <c r="G52" s="10" t="n"/>
      <c r="H52" s="8" t="n"/>
      <c r="I52" s="10" t="n"/>
      <c r="J52" s="8" t="n"/>
      <c r="K52" s="10" t="n"/>
      <c r="L52" s="10" t="n"/>
      <c r="M52" s="10" t="n"/>
      <c r="N52" s="10" t="n"/>
      <c r="O52" s="10" t="n"/>
      <c r="P52" s="10" t="n"/>
      <c r="Q52" s="10" t="n"/>
      <c r="R52" s="10" t="n"/>
      <c r="S52" s="10" t="n"/>
      <c r="T52" s="10" t="n"/>
      <c r="U52" s="10" t="n"/>
      <c r="V52" s="8" t="n"/>
      <c r="W52" s="10" t="n"/>
      <c r="X52" s="10" t="n"/>
      <c r="Y52" s="10" t="n"/>
      <c r="Z52" s="10" t="n"/>
      <c r="AA52" s="10" t="n"/>
      <c r="AB52" s="10" t="n"/>
      <c r="AC52" s="10" t="n"/>
      <c r="AD52" s="10" t="n"/>
      <c r="AE52" s="8" t="n"/>
      <c r="AF52" s="10" t="n"/>
      <c r="AG52" s="10" t="n"/>
      <c r="AH52" s="10" t="n"/>
      <c r="AI52" s="10" t="n"/>
      <c r="AJ52" s="10" t="n"/>
      <c r="AK52" s="8" t="n"/>
      <c r="AL52" s="10" t="n"/>
      <c r="AM52" s="8" t="n"/>
      <c r="AN52" s="10" t="n"/>
      <c r="AO52" s="10" t="n"/>
      <c r="AP52" s="10" t="n"/>
      <c r="AQ52" s="10" t="n"/>
      <c r="AR52" s="10" t="n"/>
      <c r="AS52" s="10" t="n"/>
      <c r="AT52" s="10" t="n"/>
      <c r="AU52" s="11" t="inlineStr">
        <is>
          <t>B3</t>
        </is>
      </c>
      <c r="AV52" s="9" t="inlineStr">
        <is>
          <t>T2</t>
        </is>
      </c>
      <c r="AW52" s="8" t="n"/>
      <c r="AX52" s="10" t="n"/>
      <c r="AY52" s="8" t="n"/>
      <c r="AZ52" s="10" t="n"/>
      <c r="BA52" s="10" t="n"/>
      <c r="BB52" s="8" t="n"/>
    </row>
    <row r="53">
      <c r="A53" s="5" t="inlineStr">
        <is>
          <t>Harvest</t>
        </is>
      </c>
      <c r="B53" s="6" t="n">
        <v>6</v>
      </c>
      <c r="C53" s="6" t="n">
        <v>0</v>
      </c>
      <c r="D53" s="6" t="n">
        <v>2</v>
      </c>
      <c r="E53" s="10" t="n"/>
      <c r="F53" s="10" t="n"/>
      <c r="G53" s="10" t="n"/>
      <c r="H53" s="8" t="n"/>
      <c r="I53" s="10" t="n"/>
      <c r="J53" s="8" t="n"/>
      <c r="K53" s="10" t="n"/>
      <c r="L53" s="11" t="inlineStr">
        <is>
          <t>T3</t>
        </is>
      </c>
      <c r="M53" s="10" t="n"/>
      <c r="N53" s="10" t="n"/>
      <c r="O53" s="10" t="n"/>
      <c r="P53" s="10" t="n"/>
      <c r="Q53" s="10" t="n"/>
      <c r="R53" s="10" t="n"/>
      <c r="S53" s="10" t="n"/>
      <c r="T53" s="10" t="n"/>
      <c r="U53" s="10" t="n"/>
      <c r="V53" s="8" t="n"/>
      <c r="W53" s="10" t="n"/>
      <c r="X53" s="10" t="n"/>
      <c r="Y53" s="10" t="n"/>
      <c r="Z53" s="10" t="n"/>
      <c r="AA53" s="10" t="n"/>
      <c r="AB53" s="10" t="n"/>
      <c r="AC53" s="10" t="n"/>
      <c r="AD53" s="10" t="n"/>
      <c r="AE53" s="8" t="n"/>
      <c r="AF53" s="10" t="n"/>
      <c r="AG53" s="10" t="n"/>
      <c r="AH53" s="10" t="n"/>
      <c r="AI53" s="10" t="n"/>
      <c r="AJ53" s="10" t="n"/>
      <c r="AK53" s="8" t="n"/>
      <c r="AL53" s="10" t="n"/>
      <c r="AM53" s="8" t="n"/>
      <c r="AN53" s="11" t="inlineStr">
        <is>
          <t>T3</t>
        </is>
      </c>
      <c r="AO53" s="10" t="n"/>
      <c r="AP53" s="10" t="n"/>
      <c r="AQ53" s="10" t="n"/>
      <c r="AR53" s="10" t="n"/>
      <c r="AS53" s="10" t="n"/>
      <c r="AT53" s="10" t="n"/>
      <c r="AU53" s="10" t="n"/>
      <c r="AV53" s="10" t="n"/>
      <c r="AW53" s="8" t="n"/>
      <c r="AX53" s="10" t="n"/>
      <c r="AY53" s="8" t="n"/>
      <c r="AZ53" s="10" t="n"/>
      <c r="BA53" s="10" t="n"/>
      <c r="BB53" s="8" t="n"/>
    </row>
    <row r="54">
      <c r="A54" s="5" t="inlineStr">
        <is>
          <t>Norburg &amp; Scherp</t>
        </is>
      </c>
      <c r="B54" s="6" t="n">
        <v>6</v>
      </c>
      <c r="C54" s="6" t="n">
        <v>1</v>
      </c>
      <c r="D54" s="6" t="n">
        <v>1</v>
      </c>
      <c r="E54" s="10" t="n"/>
      <c r="F54" s="10" t="n"/>
      <c r="G54" s="10" t="n"/>
      <c r="H54" s="8" t="n"/>
      <c r="I54" s="10" t="n"/>
      <c r="J54" s="8" t="n"/>
      <c r="K54" s="10" t="n"/>
      <c r="L54" s="10" t="n"/>
      <c r="M54" s="10" t="n"/>
      <c r="N54" s="10" t="n"/>
      <c r="O54" s="10" t="n"/>
      <c r="P54" s="10" t="n"/>
      <c r="Q54" s="11" t="inlineStr">
        <is>
          <t>B3</t>
        </is>
      </c>
      <c r="R54" s="11" t="inlineStr">
        <is>
          <t>T3</t>
        </is>
      </c>
      <c r="S54" s="10" t="n"/>
      <c r="T54" s="10" t="n"/>
      <c r="U54" s="10" t="n"/>
      <c r="V54" s="8" t="n"/>
      <c r="W54" s="10" t="n"/>
      <c r="X54" s="10" t="n"/>
      <c r="Y54" s="10" t="n"/>
      <c r="Z54" s="10" t="n"/>
      <c r="AA54" s="10" t="n"/>
      <c r="AB54" s="10" t="n"/>
      <c r="AC54" s="10" t="n"/>
      <c r="AD54" s="10" t="n"/>
      <c r="AE54" s="8" t="n"/>
      <c r="AF54" s="10" t="n"/>
      <c r="AG54" s="10" t="n"/>
      <c r="AH54" s="10" t="n"/>
      <c r="AI54" s="10" t="n"/>
      <c r="AJ54" s="10" t="n"/>
      <c r="AK54" s="8" t="n"/>
      <c r="AL54" s="10" t="n"/>
      <c r="AM54" s="8" t="n"/>
      <c r="AN54" s="10" t="n"/>
      <c r="AO54" s="10" t="n"/>
      <c r="AP54" s="10" t="n"/>
      <c r="AQ54" s="10" t="n"/>
      <c r="AR54" s="10" t="n"/>
      <c r="AS54" s="10" t="n"/>
      <c r="AT54" s="10" t="n"/>
      <c r="AU54" s="10" t="n"/>
      <c r="AV54" s="10" t="n"/>
      <c r="AW54" s="8" t="n"/>
      <c r="AX54" s="10" t="n"/>
      <c r="AY54" s="8" t="n"/>
      <c r="AZ54" s="10" t="n"/>
      <c r="BA54" s="10" t="n"/>
      <c r="BB54" s="8" t="n"/>
    </row>
    <row r="55">
      <c r="A55" s="5" t="inlineStr">
        <is>
          <t>Wallin &amp; Partners</t>
        </is>
      </c>
      <c r="B55" s="6" t="n">
        <v>6</v>
      </c>
      <c r="C55" s="6" t="n">
        <v>1</v>
      </c>
      <c r="D55" s="6" t="n">
        <v>1</v>
      </c>
      <c r="E55" s="10" t="n"/>
      <c r="F55" s="10" t="n"/>
      <c r="G55" s="10" t="n"/>
      <c r="H55" s="8" t="n"/>
      <c r="I55" s="10" t="n"/>
      <c r="J55" s="8" t="n"/>
      <c r="K55" s="10" t="n"/>
      <c r="L55" s="10" t="n"/>
      <c r="M55" s="10" t="n"/>
      <c r="N55" s="10" t="n"/>
      <c r="O55" s="10" t="n"/>
      <c r="P55" s="10" t="n"/>
      <c r="Q55" s="11" t="inlineStr">
        <is>
          <t>B3</t>
        </is>
      </c>
      <c r="R55" s="11" t="inlineStr">
        <is>
          <t>T3</t>
        </is>
      </c>
      <c r="S55" s="10" t="n"/>
      <c r="T55" s="10" t="n"/>
      <c r="U55" s="10" t="n"/>
      <c r="V55" s="8" t="n"/>
      <c r="W55" s="10" t="n"/>
      <c r="X55" s="10" t="n"/>
      <c r="Y55" s="10" t="n"/>
      <c r="Z55" s="10" t="n"/>
      <c r="AA55" s="10" t="n"/>
      <c r="AB55" s="10" t="n"/>
      <c r="AC55" s="10" t="n"/>
      <c r="AD55" s="10" t="n"/>
      <c r="AE55" s="8" t="n"/>
      <c r="AF55" s="10" t="n"/>
      <c r="AG55" s="10" t="n"/>
      <c r="AH55" s="10" t="n"/>
      <c r="AI55" s="10" t="n"/>
      <c r="AJ55" s="10" t="n"/>
      <c r="AK55" s="8" t="n"/>
      <c r="AL55" s="10" t="n"/>
      <c r="AM55" s="8" t="n"/>
      <c r="AN55" s="10" t="n"/>
      <c r="AO55" s="10" t="n"/>
      <c r="AP55" s="10" t="n"/>
      <c r="AQ55" s="10" t="n"/>
      <c r="AR55" s="10" t="n"/>
      <c r="AS55" s="10" t="n"/>
      <c r="AT55" s="10" t="n"/>
      <c r="AU55" s="10" t="n"/>
      <c r="AV55" s="10" t="n"/>
      <c r="AW55" s="8" t="n"/>
      <c r="AX55" s="10" t="n"/>
      <c r="AY55" s="8" t="n"/>
      <c r="AZ55" s="10" t="n"/>
      <c r="BA55" s="10" t="n"/>
      <c r="BB55" s="8" t="n"/>
    </row>
    <row r="56">
      <c r="A56" s="5" t="inlineStr">
        <is>
          <t>Born</t>
        </is>
      </c>
      <c r="B56" s="6" t="n">
        <v>6</v>
      </c>
      <c r="C56" s="6" t="n">
        <v>1</v>
      </c>
      <c r="D56" s="6" t="n">
        <v>1</v>
      </c>
      <c r="E56" s="10" t="n"/>
      <c r="F56" s="10" t="n"/>
      <c r="G56" s="10" t="n"/>
      <c r="H56" s="8" t="n"/>
      <c r="I56" s="10" t="n"/>
      <c r="J56" s="8" t="n"/>
      <c r="K56" s="10" t="n"/>
      <c r="L56" s="10" t="n"/>
      <c r="M56" s="10" t="n"/>
      <c r="N56" s="10" t="n"/>
      <c r="O56" s="10" t="n"/>
      <c r="P56" s="10" t="n"/>
      <c r="Q56" s="10" t="n"/>
      <c r="R56" s="10" t="n"/>
      <c r="S56" s="10" t="n"/>
      <c r="T56" s="10" t="n"/>
      <c r="U56" s="10" t="n"/>
      <c r="V56" s="8" t="n"/>
      <c r="W56" s="10" t="n"/>
      <c r="X56" s="10" t="n"/>
      <c r="Y56" s="10" t="n"/>
      <c r="Z56" s="10" t="n"/>
      <c r="AA56" s="10" t="n"/>
      <c r="AB56" s="10" t="n"/>
      <c r="AC56" s="11" t="inlineStr">
        <is>
          <t>B3</t>
        </is>
      </c>
      <c r="AD56" s="11" t="inlineStr">
        <is>
          <t>T3</t>
        </is>
      </c>
      <c r="AE56" s="8" t="n"/>
      <c r="AF56" s="10" t="n"/>
      <c r="AG56" s="10" t="n"/>
      <c r="AH56" s="10" t="n"/>
      <c r="AI56" s="10" t="n"/>
      <c r="AJ56" s="10" t="n"/>
      <c r="AK56" s="8" t="n"/>
      <c r="AL56" s="10" t="n"/>
      <c r="AM56" s="8" t="n"/>
      <c r="AN56" s="10" t="n"/>
      <c r="AO56" s="10" t="n"/>
      <c r="AP56" s="10" t="n"/>
      <c r="AQ56" s="10" t="n"/>
      <c r="AR56" s="10" t="n"/>
      <c r="AS56" s="10" t="n"/>
      <c r="AT56" s="10" t="n"/>
      <c r="AU56" s="10" t="n"/>
      <c r="AV56" s="10" t="n"/>
      <c r="AW56" s="8" t="n"/>
      <c r="AX56" s="10" t="n"/>
      <c r="AY56" s="8" t="n"/>
      <c r="AZ56" s="10" t="n"/>
      <c r="BA56" s="10" t="n"/>
      <c r="BB56" s="8" t="n"/>
    </row>
    <row r="57">
      <c r="A57" s="5" t="inlineStr">
        <is>
          <t>Gulliksson</t>
        </is>
      </c>
      <c r="B57" s="6" t="n">
        <v>6</v>
      </c>
      <c r="C57" s="6" t="n">
        <v>1</v>
      </c>
      <c r="D57" s="6" t="n">
        <v>1</v>
      </c>
      <c r="E57" s="10" t="n"/>
      <c r="F57" s="10" t="n"/>
      <c r="G57" s="10" t="n"/>
      <c r="H57" s="8" t="n"/>
      <c r="I57" s="10" t="n"/>
      <c r="J57" s="8" t="n"/>
      <c r="K57" s="10" t="n"/>
      <c r="L57" s="10" t="n"/>
      <c r="M57" s="10" t="n"/>
      <c r="N57" s="10" t="n"/>
      <c r="O57" s="10" t="n"/>
      <c r="P57" s="10" t="n"/>
      <c r="Q57" s="10" t="n"/>
      <c r="R57" s="10" t="n"/>
      <c r="S57" s="10" t="n"/>
      <c r="T57" s="10" t="n"/>
      <c r="U57" s="10" t="n"/>
      <c r="V57" s="8" t="n"/>
      <c r="W57" s="10" t="n"/>
      <c r="X57" s="10" t="n"/>
      <c r="Y57" s="10" t="n"/>
      <c r="Z57" s="10" t="n"/>
      <c r="AA57" s="10" t="n"/>
      <c r="AB57" s="10" t="n"/>
      <c r="AC57" s="10" t="n"/>
      <c r="AD57" s="10" t="n"/>
      <c r="AE57" s="8" t="n"/>
      <c r="AF57" s="10" t="n"/>
      <c r="AG57" s="12" t="inlineStr">
        <is>
          <t>B4</t>
        </is>
      </c>
      <c r="AH57" s="9" t="inlineStr">
        <is>
          <t>T2</t>
        </is>
      </c>
      <c r="AI57" s="10" t="n"/>
      <c r="AJ57" s="10" t="n"/>
      <c r="AK57" s="8" t="n"/>
      <c r="AL57" s="10" t="n"/>
      <c r="AM57" s="8" t="n"/>
      <c r="AN57" s="10" t="n"/>
      <c r="AO57" s="10" t="n"/>
      <c r="AP57" s="10" t="n"/>
      <c r="AQ57" s="10" t="n"/>
      <c r="AR57" s="10" t="n"/>
      <c r="AS57" s="10" t="n"/>
      <c r="AT57" s="10" t="n"/>
      <c r="AU57" s="10" t="n"/>
      <c r="AV57" s="10" t="n"/>
      <c r="AW57" s="8" t="n"/>
      <c r="AX57" s="10" t="n"/>
      <c r="AY57" s="8" t="n"/>
      <c r="AZ57" s="10" t="n"/>
      <c r="BA57" s="10" t="n"/>
      <c r="BB57" s="8" t="n"/>
    </row>
    <row r="58">
      <c r="A58" s="5" t="inlineStr">
        <is>
          <t>Kanter</t>
        </is>
      </c>
      <c r="B58" s="6" t="n">
        <v>5</v>
      </c>
      <c r="C58" s="6" t="n">
        <v>3</v>
      </c>
      <c r="D58" s="6" t="n">
        <v>0</v>
      </c>
      <c r="E58" s="13" t="inlineStr">
        <is>
          <t>B5</t>
        </is>
      </c>
      <c r="F58" s="10" t="n"/>
      <c r="G58" s="12" t="inlineStr">
        <is>
          <t>B4</t>
        </is>
      </c>
      <c r="H58" s="8" t="n"/>
      <c r="I58" s="10" t="n"/>
      <c r="J58" s="8" t="n"/>
      <c r="K58" s="10" t="n"/>
      <c r="L58" s="10" t="n"/>
      <c r="M58" s="10" t="n"/>
      <c r="N58" s="10" t="n"/>
      <c r="O58" s="10" t="n"/>
      <c r="P58" s="10" t="n"/>
      <c r="Q58" s="10" t="n"/>
      <c r="R58" s="10" t="n"/>
      <c r="S58" s="10" t="n"/>
      <c r="T58" s="10" t="n"/>
      <c r="U58" s="10" t="n"/>
      <c r="V58" s="8" t="n"/>
      <c r="W58" s="10" t="n"/>
      <c r="X58" s="10" t="n"/>
      <c r="Y58" s="10" t="n"/>
      <c r="Z58" s="10" t="n"/>
      <c r="AA58" s="10" t="n"/>
      <c r="AB58" s="10" t="n"/>
      <c r="AC58" s="10" t="n"/>
      <c r="AD58" s="10" t="n"/>
      <c r="AE58" s="8" t="n"/>
      <c r="AF58" s="10" t="n"/>
      <c r="AG58" s="12" t="inlineStr">
        <is>
          <t>B4</t>
        </is>
      </c>
      <c r="AH58" s="10" t="n"/>
      <c r="AI58" s="10" t="n"/>
      <c r="AJ58" s="10" t="n"/>
      <c r="AK58" s="8" t="n"/>
      <c r="AL58" s="10" t="n"/>
      <c r="AM58" s="8" t="n"/>
      <c r="AN58" s="10" t="n"/>
      <c r="AO58" s="10" t="n"/>
      <c r="AP58" s="10" t="n"/>
      <c r="AQ58" s="10" t="n"/>
      <c r="AR58" s="10" t="n"/>
      <c r="AS58" s="10" t="n"/>
      <c r="AT58" s="10" t="n"/>
      <c r="AU58" s="10" t="n"/>
      <c r="AV58" s="10" t="n"/>
      <c r="AW58" s="8" t="n"/>
      <c r="AX58" s="10" t="n"/>
      <c r="AY58" s="8" t="n"/>
      <c r="AZ58" s="10" t="n"/>
      <c r="BA58" s="10" t="n"/>
      <c r="BB58" s="8" t="n"/>
    </row>
    <row r="59">
      <c r="A59" s="5" t="inlineStr">
        <is>
          <t>Andulf</t>
        </is>
      </c>
      <c r="B59" s="6" t="n">
        <v>5</v>
      </c>
      <c r="C59" s="6" t="n">
        <v>1</v>
      </c>
      <c r="D59" s="6" t="n">
        <v>0</v>
      </c>
      <c r="E59" s="10" t="n"/>
      <c r="F59" s="10" t="n"/>
      <c r="G59" s="10" t="n"/>
      <c r="H59" s="8" t="n"/>
      <c r="I59" s="7" t="inlineStr">
        <is>
          <t>B1</t>
        </is>
      </c>
      <c r="J59" s="8" t="n"/>
      <c r="K59" s="10" t="n"/>
      <c r="L59" s="10" t="n"/>
      <c r="M59" s="10" t="n"/>
      <c r="N59" s="10" t="n"/>
      <c r="O59" s="10" t="n"/>
      <c r="P59" s="10" t="n"/>
      <c r="Q59" s="10" t="n"/>
      <c r="R59" s="10" t="n"/>
      <c r="S59" s="10" t="n"/>
      <c r="T59" s="10" t="n"/>
      <c r="U59" s="10" t="n"/>
      <c r="V59" s="8" t="n"/>
      <c r="W59" s="10" t="n"/>
      <c r="X59" s="10" t="n"/>
      <c r="Y59" s="10" t="n"/>
      <c r="Z59" s="10" t="n"/>
      <c r="AA59" s="10" t="n"/>
      <c r="AB59" s="10" t="n"/>
      <c r="AC59" s="10" t="n"/>
      <c r="AD59" s="10" t="n"/>
      <c r="AE59" s="8" t="n"/>
      <c r="AF59" s="10" t="n"/>
      <c r="AG59" s="10" t="n"/>
      <c r="AH59" s="10" t="n"/>
      <c r="AI59" s="10" t="n"/>
      <c r="AJ59" s="10" t="n"/>
      <c r="AK59" s="8" t="n"/>
      <c r="AL59" s="10" t="n"/>
      <c r="AM59" s="8" t="n"/>
      <c r="AN59" s="10" t="n"/>
      <c r="AO59" s="10" t="n"/>
      <c r="AP59" s="10" t="n"/>
      <c r="AQ59" s="10" t="n"/>
      <c r="AR59" s="10" t="n"/>
      <c r="AS59" s="10" t="n"/>
      <c r="AT59" s="10" t="n"/>
      <c r="AU59" s="10" t="n"/>
      <c r="AV59" s="10" t="n"/>
      <c r="AW59" s="8" t="n"/>
      <c r="AX59" s="10" t="n"/>
      <c r="AY59" s="8" t="n"/>
      <c r="AZ59" s="10" t="n"/>
      <c r="BA59" s="10" t="n"/>
      <c r="BB59" s="8" t="n"/>
    </row>
    <row r="60">
      <c r="A60" s="5" t="inlineStr">
        <is>
          <t>RE:FI STHLM</t>
        </is>
      </c>
      <c r="B60" s="6" t="n">
        <v>5</v>
      </c>
      <c r="C60" s="6" t="n">
        <v>1</v>
      </c>
      <c r="D60" s="6" t="n">
        <v>1</v>
      </c>
      <c r="E60" s="10" t="n"/>
      <c r="F60" s="10" t="n"/>
      <c r="G60" s="10" t="n"/>
      <c r="H60" s="8" t="n"/>
      <c r="I60" s="10" t="n"/>
      <c r="J60" s="8" t="n"/>
      <c r="K60" s="12" t="inlineStr">
        <is>
          <t>B4</t>
        </is>
      </c>
      <c r="L60" s="11" t="inlineStr">
        <is>
          <t>T3</t>
        </is>
      </c>
      <c r="M60" s="10" t="n"/>
      <c r="N60" s="10" t="n"/>
      <c r="O60" s="10" t="n"/>
      <c r="P60" s="10" t="n"/>
      <c r="Q60" s="10" t="n"/>
      <c r="R60" s="10" t="n"/>
      <c r="S60" s="10" t="n"/>
      <c r="T60" s="10" t="n"/>
      <c r="U60" s="10" t="n"/>
      <c r="V60" s="8" t="n"/>
      <c r="W60" s="10" t="n"/>
      <c r="X60" s="10" t="n"/>
      <c r="Y60" s="10" t="n"/>
      <c r="Z60" s="10" t="n"/>
      <c r="AA60" s="10" t="n"/>
      <c r="AB60" s="10" t="n"/>
      <c r="AC60" s="10" t="n"/>
      <c r="AD60" s="10" t="n"/>
      <c r="AE60" s="8" t="n"/>
      <c r="AF60" s="10" t="n"/>
      <c r="AG60" s="10" t="n"/>
      <c r="AH60" s="10" t="n"/>
      <c r="AI60" s="10" t="n"/>
      <c r="AJ60" s="10" t="n"/>
      <c r="AK60" s="8" t="n"/>
      <c r="AL60" s="10" t="n"/>
      <c r="AM60" s="8" t="n"/>
      <c r="AN60" s="10" t="n"/>
      <c r="AO60" s="10" t="n"/>
      <c r="AP60" s="10" t="n"/>
      <c r="AQ60" s="10" t="n"/>
      <c r="AR60" s="10" t="n"/>
      <c r="AS60" s="10" t="n"/>
      <c r="AT60" s="10" t="n"/>
      <c r="AU60" s="10" t="n"/>
      <c r="AV60" s="10" t="n"/>
      <c r="AW60" s="8" t="n"/>
      <c r="AX60" s="10" t="n"/>
      <c r="AY60" s="8" t="n"/>
      <c r="AZ60" s="10" t="n"/>
      <c r="BA60" s="10" t="n"/>
      <c r="BB60" s="8" t="n"/>
    </row>
    <row r="61">
      <c r="A61" s="5" t="inlineStr">
        <is>
          <t>Skierfe</t>
        </is>
      </c>
      <c r="B61" s="6" t="n">
        <v>5</v>
      </c>
      <c r="C61" s="6" t="n">
        <v>1</v>
      </c>
      <c r="D61" s="6" t="n">
        <v>1</v>
      </c>
      <c r="E61" s="10" t="n"/>
      <c r="F61" s="10" t="n"/>
      <c r="G61" s="10" t="n"/>
      <c r="H61" s="8" t="n"/>
      <c r="I61" s="10" t="n"/>
      <c r="J61" s="8" t="n"/>
      <c r="K61" s="10" t="n"/>
      <c r="L61" s="10" t="n"/>
      <c r="M61" s="10" t="n"/>
      <c r="N61" s="10" t="n"/>
      <c r="O61" s="10" t="n"/>
      <c r="P61" s="10" t="n"/>
      <c r="Q61" s="10" t="n"/>
      <c r="R61" s="10" t="n"/>
      <c r="S61" s="10" t="n"/>
      <c r="T61" s="10" t="n"/>
      <c r="U61" s="10" t="n"/>
      <c r="V61" s="8" t="n"/>
      <c r="W61" s="10" t="n"/>
      <c r="X61" s="10" t="n"/>
      <c r="Y61" s="10" t="n"/>
      <c r="Z61" s="10" t="n"/>
      <c r="AA61" s="10" t="n"/>
      <c r="AB61" s="10" t="n"/>
      <c r="AC61" s="12" t="inlineStr">
        <is>
          <t>B4</t>
        </is>
      </c>
      <c r="AD61" s="11" t="inlineStr">
        <is>
          <t>T3</t>
        </is>
      </c>
      <c r="AE61" s="8" t="n"/>
      <c r="AF61" s="10" t="n"/>
      <c r="AG61" s="10" t="n"/>
      <c r="AH61" s="10" t="n"/>
      <c r="AI61" s="10" t="n"/>
      <c r="AJ61" s="10" t="n"/>
      <c r="AK61" s="8" t="n"/>
      <c r="AL61" s="10" t="n"/>
      <c r="AM61" s="8" t="n"/>
      <c r="AN61" s="10" t="n"/>
      <c r="AO61" s="10" t="n"/>
      <c r="AP61" s="10" t="n"/>
      <c r="AQ61" s="10" t="n"/>
      <c r="AR61" s="10" t="n"/>
      <c r="AS61" s="10" t="n"/>
      <c r="AT61" s="10" t="n"/>
      <c r="AU61" s="10" t="n"/>
      <c r="AV61" s="10" t="n"/>
      <c r="AW61" s="8" t="n"/>
      <c r="AX61" s="10" t="n"/>
      <c r="AY61" s="8" t="n"/>
      <c r="AZ61" s="10" t="n"/>
      <c r="BA61" s="10" t="n"/>
      <c r="BB61" s="8" t="n"/>
    </row>
    <row r="62">
      <c r="A62" s="5" t="inlineStr">
        <is>
          <t>A1 Advokater</t>
        </is>
      </c>
      <c r="B62" s="6" t="n">
        <v>4</v>
      </c>
      <c r="C62" s="6" t="n">
        <v>1</v>
      </c>
      <c r="D62" s="6" t="n">
        <v>1</v>
      </c>
      <c r="E62" s="10" t="n"/>
      <c r="F62" s="10" t="n"/>
      <c r="G62" s="10" t="n"/>
      <c r="H62" s="8" t="n"/>
      <c r="I62" s="10" t="n"/>
      <c r="J62" s="8" t="n"/>
      <c r="K62" s="10" t="n"/>
      <c r="L62" s="10" t="n"/>
      <c r="M62" s="10" t="n"/>
      <c r="N62" s="10" t="n"/>
      <c r="O62" s="10" t="n"/>
      <c r="P62" s="10" t="n"/>
      <c r="Q62" s="12" t="inlineStr">
        <is>
          <t>B4</t>
        </is>
      </c>
      <c r="R62" s="12" t="inlineStr">
        <is>
          <t>T4</t>
        </is>
      </c>
      <c r="S62" s="10" t="n"/>
      <c r="T62" s="10" t="n"/>
      <c r="U62" s="10" t="n"/>
      <c r="V62" s="8" t="n"/>
      <c r="W62" s="10" t="n"/>
      <c r="X62" s="10" t="n"/>
      <c r="Y62" s="10" t="n"/>
      <c r="Z62" s="10" t="n"/>
      <c r="AA62" s="10" t="n"/>
      <c r="AB62" s="10" t="n"/>
      <c r="AC62" s="10" t="n"/>
      <c r="AD62" s="10" t="n"/>
      <c r="AE62" s="8" t="n"/>
      <c r="AF62" s="10" t="n"/>
      <c r="AG62" s="10" t="n"/>
      <c r="AH62" s="10" t="n"/>
      <c r="AI62" s="10" t="n"/>
      <c r="AJ62" s="10" t="n"/>
      <c r="AK62" s="8" t="n"/>
      <c r="AL62" s="10" t="n"/>
      <c r="AM62" s="8" t="n"/>
      <c r="AN62" s="10" t="n"/>
      <c r="AO62" s="10" t="n"/>
      <c r="AP62" s="10" t="n"/>
      <c r="AQ62" s="10" t="n"/>
      <c r="AR62" s="10" t="n"/>
      <c r="AS62" s="10" t="n"/>
      <c r="AT62" s="10" t="n"/>
      <c r="AU62" s="10" t="n"/>
      <c r="AV62" s="10" t="n"/>
      <c r="AW62" s="8" t="n"/>
      <c r="AX62" s="10" t="n"/>
      <c r="AY62" s="8" t="n"/>
      <c r="AZ62" s="10" t="n"/>
      <c r="BA62" s="10" t="n"/>
      <c r="BB62" s="8" t="n"/>
    </row>
    <row r="63">
      <c r="A63" s="5" t="inlineStr">
        <is>
          <t>AWA</t>
        </is>
      </c>
      <c r="B63" s="6" t="n">
        <v>4</v>
      </c>
      <c r="C63" s="6" t="n">
        <v>0</v>
      </c>
      <c r="D63" s="6" t="n">
        <v>1</v>
      </c>
      <c r="E63" s="10" t="n"/>
      <c r="F63" s="10" t="n"/>
      <c r="G63" s="10" t="n"/>
      <c r="H63" s="8" t="n"/>
      <c r="I63" s="10" t="n"/>
      <c r="J63" s="8" t="n"/>
      <c r="K63" s="10" t="n"/>
      <c r="L63" s="10" t="n"/>
      <c r="M63" s="10" t="n"/>
      <c r="N63" s="10" t="n"/>
      <c r="O63" s="10" t="n"/>
      <c r="P63" s="10" t="n"/>
      <c r="Q63" s="10" t="n"/>
      <c r="R63" s="10" t="n"/>
      <c r="S63" s="10" t="n"/>
      <c r="T63" s="10" t="n"/>
      <c r="U63" s="10" t="n"/>
      <c r="V63" s="8" t="n"/>
      <c r="W63" s="10" t="n"/>
      <c r="X63" s="10" t="n"/>
      <c r="Y63" s="10" t="n"/>
      <c r="Z63" s="10" t="n"/>
      <c r="AA63" s="10" t="n"/>
      <c r="AB63" s="10" t="n"/>
      <c r="AC63" s="10" t="n"/>
      <c r="AD63" s="10" t="n"/>
      <c r="AE63" s="8" t="n"/>
      <c r="AF63" s="10" t="n"/>
      <c r="AG63" s="10" t="n"/>
      <c r="AH63" s="9" t="inlineStr">
        <is>
          <t>T2</t>
        </is>
      </c>
      <c r="AI63" s="10" t="n"/>
      <c r="AJ63" s="10" t="n"/>
      <c r="AK63" s="8" t="n"/>
      <c r="AL63" s="10" t="n"/>
      <c r="AM63" s="8" t="n"/>
      <c r="AN63" s="10" t="n"/>
      <c r="AO63" s="10" t="n"/>
      <c r="AP63" s="10" t="n"/>
      <c r="AQ63" s="10" t="n"/>
      <c r="AR63" s="10" t="n"/>
      <c r="AS63" s="10" t="n"/>
      <c r="AT63" s="10" t="n"/>
      <c r="AU63" s="10" t="n"/>
      <c r="AV63" s="10" t="n"/>
      <c r="AW63" s="8" t="n"/>
      <c r="AX63" s="10" t="n"/>
      <c r="AY63" s="8" t="n"/>
      <c r="AZ63" s="10" t="n"/>
      <c r="BA63" s="10" t="n"/>
      <c r="BB63" s="8" t="n"/>
    </row>
    <row r="65">
      <c r="A65" s="45" t="inlineStr">
        <is>
          <t>Not shown: Chambers tables that rank individual lawyers only (Banking &amp; Finance: Regulatory, Data Protection, Telecommunications, Most in Demand Arbitrators). Legal 500 practice areas without a Chambers equivalent show "CH n/a" (and vice versa).</t>
        </is>
      </c>
    </row>
    <row r="66">
      <c r="A66" s="45" t="inlineStr">
        <is>
          <t>Sources: https://chambers.com/legal-guide/europe-7 (Sweden) ; https://www.legal500.com/c/sweden/practice-areas</t>
        </is>
      </c>
    </row>
  </sheetData>
  <mergeCells count="30">
    <mergeCell ref="W4:X4"/>
    <mergeCell ref="AG4:AH4"/>
    <mergeCell ref="Y4:Z4"/>
    <mergeCell ref="C4:C5"/>
    <mergeCell ref="AS4:AT4"/>
    <mergeCell ref="AK4:AL4"/>
    <mergeCell ref="AU4:AV4"/>
    <mergeCell ref="AW4:AX4"/>
    <mergeCell ref="E4:F4"/>
    <mergeCell ref="AY4:AZ4"/>
    <mergeCell ref="D4:D5"/>
    <mergeCell ref="O4:P4"/>
    <mergeCell ref="AA4:AB4"/>
    <mergeCell ref="Q4:R4"/>
    <mergeCell ref="AC4:AD4"/>
    <mergeCell ref="AI4:AJ4"/>
    <mergeCell ref="A2:BB2"/>
    <mergeCell ref="A4:A5"/>
    <mergeCell ref="AM4:AN4"/>
    <mergeCell ref="AO4:AP4"/>
    <mergeCell ref="AQ4:AR4"/>
    <mergeCell ref="G4:H4"/>
    <mergeCell ref="BA4:BB4"/>
    <mergeCell ref="I4:J4"/>
    <mergeCell ref="B4:B5"/>
    <mergeCell ref="K4:L4"/>
    <mergeCell ref="M4:N4"/>
    <mergeCell ref="S4:T4"/>
    <mergeCell ref="AE4:AF4"/>
    <mergeCell ref="U4:V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61"/>
  <sheetViews>
    <sheetView workbookViewId="0">
      <selection activeCell="A1" sqref="A1"/>
    </sheetView>
  </sheetViews>
  <sheetFormatPr baseColWidth="8" defaultRowHeight="15"/>
  <cols>
    <col width="26" customWidth="1" style="112" min="1" max="1"/>
    <col width="11" customWidth="1" style="112" min="2" max="2"/>
    <col width="14" customWidth="1" style="112" min="3" max="3"/>
    <col width="24" customWidth="1" style="112" min="4" max="4"/>
    <col width="40" customWidth="1" style="112" min="5" max="5"/>
  </cols>
  <sheetData>
    <row r="1">
      <c r="A1" s="46" t="inlineStr">
        <is>
          <t>Practice area</t>
        </is>
      </c>
      <c r="B1" s="46" t="inlineStr">
        <is>
          <t>Directory</t>
        </is>
      </c>
      <c r="C1" s="46" t="inlineStr">
        <is>
          <t>Band / tier</t>
        </is>
      </c>
      <c r="D1" s="46" t="inlineStr">
        <is>
          <t>Firm (normalised)</t>
        </is>
      </c>
      <c r="E1" s="46" t="inlineStr">
        <is>
          <t>Firm (as listed)</t>
        </is>
      </c>
    </row>
    <row r="2">
      <c r="A2" t="inlineStr">
        <is>
          <t>Corporate / M&amp;A</t>
        </is>
      </c>
      <c r="B2" t="inlineStr">
        <is>
          <t>Chambers</t>
        </is>
      </c>
      <c r="C2" t="inlineStr">
        <is>
          <t>Band 1</t>
        </is>
      </c>
      <c r="D2" t="inlineStr">
        <is>
          <t>Vinge</t>
        </is>
      </c>
      <c r="E2" t="inlineStr">
        <is>
          <t>Advokatfirman Vinge KB</t>
        </is>
      </c>
    </row>
    <row r="3">
      <c r="A3" t="inlineStr">
        <is>
          <t>Corporate / M&amp;A</t>
        </is>
      </c>
      <c r="B3" t="inlineStr">
        <is>
          <t>Chambers</t>
        </is>
      </c>
      <c r="C3" t="inlineStr">
        <is>
          <t>Band 1</t>
        </is>
      </c>
      <c r="D3" t="inlineStr">
        <is>
          <t>Mannheimer Swartling</t>
        </is>
      </c>
      <c r="E3" t="inlineStr">
        <is>
          <t>Mannheimer Swartling</t>
        </is>
      </c>
    </row>
    <row r="4">
      <c r="A4" t="inlineStr">
        <is>
          <t>Corporate / M&amp;A</t>
        </is>
      </c>
      <c r="B4" t="inlineStr">
        <is>
          <t>Chambers</t>
        </is>
      </c>
      <c r="C4" t="inlineStr">
        <is>
          <t>Band 1</t>
        </is>
      </c>
      <c r="D4" t="inlineStr">
        <is>
          <t>Roschier</t>
        </is>
      </c>
      <c r="E4" t="inlineStr">
        <is>
          <t>Roschier</t>
        </is>
      </c>
    </row>
    <row r="5">
      <c r="A5" t="inlineStr">
        <is>
          <t>Corporate / M&amp;A</t>
        </is>
      </c>
      <c r="B5" t="inlineStr">
        <is>
          <t>Chambers</t>
        </is>
      </c>
      <c r="C5" t="inlineStr">
        <is>
          <t>Band 2</t>
        </is>
      </c>
      <c r="D5" t="inlineStr">
        <is>
          <t>Gernandt &amp; Danielsson</t>
        </is>
      </c>
      <c r="E5" t="inlineStr">
        <is>
          <t>Gernandt &amp; Danielsson Advokatbyrå KB</t>
        </is>
      </c>
    </row>
    <row r="6">
      <c r="A6" t="inlineStr">
        <is>
          <t>Corporate / M&amp;A</t>
        </is>
      </c>
      <c r="B6" t="inlineStr">
        <is>
          <t>Chambers</t>
        </is>
      </c>
      <c r="C6" t="inlineStr">
        <is>
          <t>Band 3</t>
        </is>
      </c>
      <c r="D6" t="inlineStr">
        <is>
          <t>Cederquist</t>
        </is>
      </c>
      <c r="E6" t="inlineStr">
        <is>
          <t>Advokatfirman Cederquist KB</t>
        </is>
      </c>
    </row>
    <row r="7">
      <c r="A7" t="inlineStr">
        <is>
          <t>Corporate / M&amp;A</t>
        </is>
      </c>
      <c r="B7" t="inlineStr">
        <is>
          <t>Chambers</t>
        </is>
      </c>
      <c r="C7" t="inlineStr">
        <is>
          <t>Band 3</t>
        </is>
      </c>
      <c r="D7" t="inlineStr">
        <is>
          <t>Baker McKenzie</t>
        </is>
      </c>
      <c r="E7" t="inlineStr">
        <is>
          <t>Baker McKenzie</t>
        </is>
      </c>
    </row>
    <row r="8">
      <c r="A8" t="inlineStr">
        <is>
          <t>Corporate / M&amp;A</t>
        </is>
      </c>
      <c r="B8" t="inlineStr">
        <is>
          <t>Chambers</t>
        </is>
      </c>
      <c r="C8" t="inlineStr">
        <is>
          <t>Band 3</t>
        </is>
      </c>
      <c r="D8" t="inlineStr">
        <is>
          <t>DLA Piper</t>
        </is>
      </c>
      <c r="E8" t="inlineStr">
        <is>
          <t>DLA Piper</t>
        </is>
      </c>
    </row>
    <row r="9">
      <c r="A9" t="inlineStr">
        <is>
          <t>Corporate / M&amp;A</t>
        </is>
      </c>
      <c r="B9" t="inlineStr">
        <is>
          <t>Chambers</t>
        </is>
      </c>
      <c r="C9" t="inlineStr">
        <is>
          <t>Band 3</t>
        </is>
      </c>
      <c r="D9" t="inlineStr">
        <is>
          <t>Linklaters</t>
        </is>
      </c>
      <c r="E9" t="inlineStr">
        <is>
          <t>Linklaters Advokatbyrå</t>
        </is>
      </c>
    </row>
    <row r="10">
      <c r="A10" t="inlineStr">
        <is>
          <t>Corporate / M&amp;A</t>
        </is>
      </c>
      <c r="B10" t="inlineStr">
        <is>
          <t>Chambers</t>
        </is>
      </c>
      <c r="C10" t="inlineStr">
        <is>
          <t>Band 3</t>
        </is>
      </c>
      <c r="D10" t="inlineStr">
        <is>
          <t>Setterwalls</t>
        </is>
      </c>
      <c r="E10" t="inlineStr">
        <is>
          <t>Setterwalls</t>
        </is>
      </c>
    </row>
    <row r="11">
      <c r="A11" t="inlineStr">
        <is>
          <t>Corporate / M&amp;A</t>
        </is>
      </c>
      <c r="B11" t="inlineStr">
        <is>
          <t>Chambers</t>
        </is>
      </c>
      <c r="C11" t="inlineStr">
        <is>
          <t>Band 3</t>
        </is>
      </c>
      <c r="D11" t="inlineStr">
        <is>
          <t>Snellman</t>
        </is>
      </c>
      <c r="E11" t="inlineStr">
        <is>
          <t>Snellman Advokatbyrå AB</t>
        </is>
      </c>
    </row>
    <row r="12">
      <c r="A12" t="inlineStr">
        <is>
          <t>Corporate / M&amp;A</t>
        </is>
      </c>
      <c r="B12" t="inlineStr">
        <is>
          <t>Chambers</t>
        </is>
      </c>
      <c r="C12" t="inlineStr">
        <is>
          <t>Band 3</t>
        </is>
      </c>
      <c r="D12" t="inlineStr">
        <is>
          <t>White &amp; Case</t>
        </is>
      </c>
      <c r="E12" t="inlineStr">
        <is>
          <t>White &amp; Case Advokat AB</t>
        </is>
      </c>
    </row>
    <row r="13">
      <c r="A13" t="inlineStr">
        <is>
          <t>Corporate / M&amp;A</t>
        </is>
      </c>
      <c r="B13" t="inlineStr">
        <is>
          <t>Chambers</t>
        </is>
      </c>
      <c r="C13" t="inlineStr">
        <is>
          <t>Band 4</t>
        </is>
      </c>
      <c r="D13" t="inlineStr">
        <is>
          <t>Hammarskiöld</t>
        </is>
      </c>
      <c r="E13" t="inlineStr">
        <is>
          <t>Advokatfirman Hammarskiöld &amp; Co AB</t>
        </is>
      </c>
    </row>
    <row r="14">
      <c r="A14" t="inlineStr">
        <is>
          <t>Corporate / M&amp;A</t>
        </is>
      </c>
      <c r="B14" t="inlineStr">
        <is>
          <t>Chambers</t>
        </is>
      </c>
      <c r="C14" t="inlineStr">
        <is>
          <t>Band 4</t>
        </is>
      </c>
      <c r="D14" t="inlineStr">
        <is>
          <t>Lindahl</t>
        </is>
      </c>
      <c r="E14" t="inlineStr">
        <is>
          <t>Advokatfirman Lindahl</t>
        </is>
      </c>
    </row>
    <row r="15">
      <c r="A15" t="inlineStr">
        <is>
          <t>Corporate / M&amp;A</t>
        </is>
      </c>
      <c r="B15" t="inlineStr">
        <is>
          <t>Chambers</t>
        </is>
      </c>
      <c r="C15" t="inlineStr">
        <is>
          <t>Band 4</t>
        </is>
      </c>
      <c r="D15" t="inlineStr">
        <is>
          <t>Schjødt</t>
        </is>
      </c>
      <c r="E15" t="inlineStr">
        <is>
          <t>Advokatfirman Schjødt</t>
        </is>
      </c>
    </row>
    <row r="16">
      <c r="A16" t="inlineStr">
        <is>
          <t>Corporate / M&amp;A</t>
        </is>
      </c>
      <c r="B16" t="inlineStr">
        <is>
          <t>Chambers</t>
        </is>
      </c>
      <c r="C16" t="inlineStr">
        <is>
          <t>Band 4</t>
        </is>
      </c>
      <c r="D16" t="inlineStr">
        <is>
          <t>Cirio</t>
        </is>
      </c>
      <c r="E16" t="inlineStr">
        <is>
          <t>Cirio Advokatbyrå AB</t>
        </is>
      </c>
    </row>
    <row r="17">
      <c r="A17" t="inlineStr">
        <is>
          <t>Corporate / M&amp;A</t>
        </is>
      </c>
      <c r="B17" t="inlineStr">
        <is>
          <t>Chambers</t>
        </is>
      </c>
      <c r="C17" t="inlineStr">
        <is>
          <t>Band 4</t>
        </is>
      </c>
      <c r="D17" t="inlineStr">
        <is>
          <t>CMS Wistrand</t>
        </is>
      </c>
      <c r="E17" t="inlineStr">
        <is>
          <t>CMS Wistrand</t>
        </is>
      </c>
    </row>
    <row r="18">
      <c r="A18" t="inlineStr">
        <is>
          <t>Corporate / M&amp;A</t>
        </is>
      </c>
      <c r="B18" t="inlineStr">
        <is>
          <t>Chambers</t>
        </is>
      </c>
      <c r="C18" t="inlineStr">
        <is>
          <t>Band 5</t>
        </is>
      </c>
      <c r="D18" t="inlineStr">
        <is>
          <t>BAHR</t>
        </is>
      </c>
      <c r="E18" t="inlineStr">
        <is>
          <t>BAHR</t>
        </is>
      </c>
    </row>
    <row r="19">
      <c r="A19" t="inlineStr">
        <is>
          <t>Corporate / M&amp;A</t>
        </is>
      </c>
      <c r="B19" t="inlineStr">
        <is>
          <t>Chambers</t>
        </is>
      </c>
      <c r="C19" t="inlineStr">
        <is>
          <t>Band 5</t>
        </is>
      </c>
      <c r="D19" t="inlineStr">
        <is>
          <t>Bird &amp; Bird</t>
        </is>
      </c>
      <c r="E19" t="inlineStr">
        <is>
          <t>Bird &amp; Bird</t>
        </is>
      </c>
    </row>
    <row r="20">
      <c r="A20" t="inlineStr">
        <is>
          <t>Corporate / M&amp;A</t>
        </is>
      </c>
      <c r="B20" t="inlineStr">
        <is>
          <t>Chambers</t>
        </is>
      </c>
      <c r="C20" t="inlineStr">
        <is>
          <t>Band 5</t>
        </is>
      </c>
      <c r="D20" t="inlineStr">
        <is>
          <t>Delphi</t>
        </is>
      </c>
      <c r="E20" t="inlineStr">
        <is>
          <t>Delphi</t>
        </is>
      </c>
    </row>
    <row r="21">
      <c r="A21" t="inlineStr">
        <is>
          <t>Corporate / M&amp;A</t>
        </is>
      </c>
      <c r="B21" t="inlineStr">
        <is>
          <t>Chambers</t>
        </is>
      </c>
      <c r="C21" t="inlineStr">
        <is>
          <t>Band 5</t>
        </is>
      </c>
      <c r="D21" t="inlineStr">
        <is>
          <t>Eversheds Sutherland</t>
        </is>
      </c>
      <c r="E21" t="inlineStr">
        <is>
          <t>Eversheds Sutherland Advokatbyrå AB</t>
        </is>
      </c>
    </row>
    <row r="22">
      <c r="A22" t="inlineStr">
        <is>
          <t>Corporate / M&amp;A</t>
        </is>
      </c>
      <c r="B22" t="inlineStr">
        <is>
          <t>Chambers</t>
        </is>
      </c>
      <c r="C22" t="inlineStr">
        <is>
          <t>Band 5</t>
        </is>
      </c>
      <c r="D22" t="inlineStr">
        <is>
          <t>Kanter</t>
        </is>
      </c>
      <c r="E22" t="inlineStr">
        <is>
          <t>KANTER Advokatbyrå</t>
        </is>
      </c>
    </row>
    <row r="23">
      <c r="A23" t="inlineStr">
        <is>
          <t>Corporate / M&amp;A</t>
        </is>
      </c>
      <c r="B23" t="inlineStr">
        <is>
          <t>Chambers</t>
        </is>
      </c>
      <c r="C23" t="inlineStr">
        <is>
          <t>Band 5</t>
        </is>
      </c>
      <c r="D23" t="inlineStr">
        <is>
          <t>TM &amp; Partners</t>
        </is>
      </c>
      <c r="E23" t="inlineStr">
        <is>
          <t>TM &amp; Partners</t>
        </is>
      </c>
    </row>
    <row r="24">
      <c r="A24" t="inlineStr">
        <is>
          <t>Corporate / M&amp;A</t>
        </is>
      </c>
      <c r="B24" t="inlineStr">
        <is>
          <t>Chambers</t>
        </is>
      </c>
      <c r="C24" t="inlineStr">
        <is>
          <t>Band 5</t>
        </is>
      </c>
      <c r="D24" t="inlineStr">
        <is>
          <t>Wigge &amp; Partners</t>
        </is>
      </c>
      <c r="E24" t="inlineStr">
        <is>
          <t>Wigge</t>
        </is>
      </c>
    </row>
    <row r="25">
      <c r="A25" t="inlineStr">
        <is>
          <t>Corporate / M&amp;A</t>
        </is>
      </c>
      <c r="B25" t="inlineStr">
        <is>
          <t>Legal 500</t>
        </is>
      </c>
      <c r="C25" t="inlineStr">
        <is>
          <t>Tier 1</t>
        </is>
      </c>
      <c r="D25" t="inlineStr">
        <is>
          <t>Gernandt &amp; Danielsson</t>
        </is>
      </c>
      <c r="E25" t="inlineStr">
        <is>
          <t>Gernandt &amp; Danielsson Advokatbyrå</t>
        </is>
      </c>
    </row>
    <row r="26">
      <c r="A26" t="inlineStr">
        <is>
          <t>Corporate / M&amp;A</t>
        </is>
      </c>
      <c r="B26" t="inlineStr">
        <is>
          <t>Legal 500</t>
        </is>
      </c>
      <c r="C26" t="inlineStr">
        <is>
          <t>Tier 1</t>
        </is>
      </c>
      <c r="D26" t="inlineStr">
        <is>
          <t>Mannheimer Swartling</t>
        </is>
      </c>
      <c r="E26" t="inlineStr">
        <is>
          <t>Mannheimer Swartling</t>
        </is>
      </c>
    </row>
    <row r="27">
      <c r="A27" t="inlineStr">
        <is>
          <t>Corporate / M&amp;A</t>
        </is>
      </c>
      <c r="B27" t="inlineStr">
        <is>
          <t>Legal 500</t>
        </is>
      </c>
      <c r="C27" t="inlineStr">
        <is>
          <t>Tier 1</t>
        </is>
      </c>
      <c r="D27" t="inlineStr">
        <is>
          <t>Roschier</t>
        </is>
      </c>
      <c r="E27" t="inlineStr">
        <is>
          <t>Roschier</t>
        </is>
      </c>
    </row>
    <row r="28">
      <c r="A28" t="inlineStr">
        <is>
          <t>Corporate / M&amp;A</t>
        </is>
      </c>
      <c r="B28" t="inlineStr">
        <is>
          <t>Legal 500</t>
        </is>
      </c>
      <c r="C28" t="inlineStr">
        <is>
          <t>Tier 1</t>
        </is>
      </c>
      <c r="D28" t="inlineStr">
        <is>
          <t>Vinge</t>
        </is>
      </c>
      <c r="E28" t="inlineStr">
        <is>
          <t>Advokatfirman Vinge KB</t>
        </is>
      </c>
    </row>
    <row r="29">
      <c r="A29" t="inlineStr">
        <is>
          <t>Corporate / M&amp;A</t>
        </is>
      </c>
      <c r="B29" t="inlineStr">
        <is>
          <t>Legal 500</t>
        </is>
      </c>
      <c r="C29" t="inlineStr">
        <is>
          <t>Tier 2</t>
        </is>
      </c>
      <c r="D29" t="inlineStr">
        <is>
          <t>Cederquist</t>
        </is>
      </c>
      <c r="E29" t="inlineStr">
        <is>
          <t>Advokatfirman Cederquist KB</t>
        </is>
      </c>
    </row>
    <row r="30">
      <c r="A30" t="inlineStr">
        <is>
          <t>Corporate / M&amp;A</t>
        </is>
      </c>
      <c r="B30" t="inlineStr">
        <is>
          <t>Legal 500</t>
        </is>
      </c>
      <c r="C30" t="inlineStr">
        <is>
          <t>Tier 2</t>
        </is>
      </c>
      <c r="D30" t="inlineStr">
        <is>
          <t>Linklaters</t>
        </is>
      </c>
      <c r="E30" t="inlineStr">
        <is>
          <t>Linklaters</t>
        </is>
      </c>
    </row>
    <row r="31">
      <c r="A31" t="inlineStr">
        <is>
          <t>Corporate / M&amp;A</t>
        </is>
      </c>
      <c r="B31" t="inlineStr">
        <is>
          <t>Legal 500</t>
        </is>
      </c>
      <c r="C31" t="inlineStr">
        <is>
          <t>Tier 2</t>
        </is>
      </c>
      <c r="D31" t="inlineStr">
        <is>
          <t>Setterwalls</t>
        </is>
      </c>
      <c r="E31" t="inlineStr">
        <is>
          <t>Setterwalls</t>
        </is>
      </c>
    </row>
    <row r="32">
      <c r="A32" t="inlineStr">
        <is>
          <t>Corporate / M&amp;A</t>
        </is>
      </c>
      <c r="B32" t="inlineStr">
        <is>
          <t>Legal 500</t>
        </is>
      </c>
      <c r="C32" t="inlineStr">
        <is>
          <t>Tier 2</t>
        </is>
      </c>
      <c r="D32" t="inlineStr">
        <is>
          <t>Snellman</t>
        </is>
      </c>
      <c r="E32" t="inlineStr">
        <is>
          <t>Snellman</t>
        </is>
      </c>
    </row>
    <row r="33">
      <c r="A33" t="inlineStr">
        <is>
          <t>Corporate / M&amp;A</t>
        </is>
      </c>
      <c r="B33" t="inlineStr">
        <is>
          <t>Legal 500</t>
        </is>
      </c>
      <c r="C33" t="inlineStr">
        <is>
          <t>Tier 3</t>
        </is>
      </c>
      <c r="D33" t="inlineStr">
        <is>
          <t>Baker McKenzie</t>
        </is>
      </c>
      <c r="E33" t="inlineStr">
        <is>
          <t>Baker McKenzie</t>
        </is>
      </c>
    </row>
    <row r="34">
      <c r="A34" t="inlineStr">
        <is>
          <t>Corporate / M&amp;A</t>
        </is>
      </c>
      <c r="B34" t="inlineStr">
        <is>
          <t>Legal 500</t>
        </is>
      </c>
      <c r="C34" t="inlineStr">
        <is>
          <t>Tier 3</t>
        </is>
      </c>
      <c r="D34" t="inlineStr">
        <is>
          <t>Bird &amp; Bird</t>
        </is>
      </c>
      <c r="E34" t="inlineStr">
        <is>
          <t>Bird &amp; Bird</t>
        </is>
      </c>
    </row>
    <row r="35">
      <c r="A35" t="inlineStr">
        <is>
          <t>Corporate / M&amp;A</t>
        </is>
      </c>
      <c r="B35" t="inlineStr">
        <is>
          <t>Legal 500</t>
        </is>
      </c>
      <c r="C35" t="inlineStr">
        <is>
          <t>Tier 3</t>
        </is>
      </c>
      <c r="D35" t="inlineStr">
        <is>
          <t>Cirio</t>
        </is>
      </c>
      <c r="E35" t="inlineStr">
        <is>
          <t>Cirio Advokatbyrå AB</t>
        </is>
      </c>
    </row>
    <row r="36">
      <c r="A36" t="inlineStr">
        <is>
          <t>Corporate / M&amp;A</t>
        </is>
      </c>
      <c r="B36" t="inlineStr">
        <is>
          <t>Legal 500</t>
        </is>
      </c>
      <c r="C36" t="inlineStr">
        <is>
          <t>Tier 3</t>
        </is>
      </c>
      <c r="D36" t="inlineStr">
        <is>
          <t>CMS Wistrand</t>
        </is>
      </c>
      <c r="E36" t="inlineStr">
        <is>
          <t>CMS Wistrand</t>
        </is>
      </c>
    </row>
    <row r="37">
      <c r="A37" t="inlineStr">
        <is>
          <t>Corporate / M&amp;A</t>
        </is>
      </c>
      <c r="B37" t="inlineStr">
        <is>
          <t>Legal 500</t>
        </is>
      </c>
      <c r="C37" t="inlineStr">
        <is>
          <t>Tier 3</t>
        </is>
      </c>
      <c r="D37" t="inlineStr">
        <is>
          <t>Delphi</t>
        </is>
      </c>
      <c r="E37" t="inlineStr">
        <is>
          <t>Advokatfirman Delphi</t>
        </is>
      </c>
    </row>
    <row r="38">
      <c r="A38" t="inlineStr">
        <is>
          <t>Corporate / M&amp;A</t>
        </is>
      </c>
      <c r="B38" t="inlineStr">
        <is>
          <t>Legal 500</t>
        </is>
      </c>
      <c r="C38" t="inlineStr">
        <is>
          <t>Tier 3</t>
        </is>
      </c>
      <c r="D38" t="inlineStr">
        <is>
          <t>DLA Piper</t>
        </is>
      </c>
      <c r="E38" t="inlineStr">
        <is>
          <t>DLA Piper Sweden</t>
        </is>
      </c>
    </row>
    <row r="39">
      <c r="A39" t="inlineStr">
        <is>
          <t>Corporate / M&amp;A</t>
        </is>
      </c>
      <c r="B39" t="inlineStr">
        <is>
          <t>Legal 500</t>
        </is>
      </c>
      <c r="C39" t="inlineStr">
        <is>
          <t>Tier 3</t>
        </is>
      </c>
      <c r="D39" t="inlineStr">
        <is>
          <t>Hammarskiöld</t>
        </is>
      </c>
      <c r="E39" t="inlineStr">
        <is>
          <t>Hammarskiöld</t>
        </is>
      </c>
    </row>
    <row r="40">
      <c r="A40" t="inlineStr">
        <is>
          <t>Corporate / M&amp;A</t>
        </is>
      </c>
      <c r="B40" t="inlineStr">
        <is>
          <t>Legal 500</t>
        </is>
      </c>
      <c r="C40" t="inlineStr">
        <is>
          <t>Tier 3</t>
        </is>
      </c>
      <c r="D40" t="inlineStr">
        <is>
          <t>Lindahl</t>
        </is>
      </c>
      <c r="E40" t="inlineStr">
        <is>
          <t>Advokatfirman Lindahl KB</t>
        </is>
      </c>
    </row>
    <row r="41">
      <c r="A41" t="inlineStr">
        <is>
          <t>Corporate / M&amp;A</t>
        </is>
      </c>
      <c r="B41" t="inlineStr">
        <is>
          <t>Legal 500</t>
        </is>
      </c>
      <c r="C41" t="inlineStr">
        <is>
          <t>Tier 3</t>
        </is>
      </c>
      <c r="D41" t="inlineStr">
        <is>
          <t>White &amp; Case</t>
        </is>
      </c>
      <c r="E41" t="inlineStr">
        <is>
          <t>White &amp; Case Advokat AB</t>
        </is>
      </c>
    </row>
    <row r="42">
      <c r="A42" t="inlineStr">
        <is>
          <t>Corporate / M&amp;A</t>
        </is>
      </c>
      <c r="B42" t="inlineStr">
        <is>
          <t>Legal 500</t>
        </is>
      </c>
      <c r="C42" t="inlineStr">
        <is>
          <t>Tier 4</t>
        </is>
      </c>
      <c r="D42" t="inlineStr">
        <is>
          <t>Eversheds Sutherland</t>
        </is>
      </c>
      <c r="E42" t="inlineStr">
        <is>
          <t>Eversheds Sutherland</t>
        </is>
      </c>
    </row>
    <row r="43">
      <c r="A43" t="inlineStr">
        <is>
          <t>Corporate / M&amp;A</t>
        </is>
      </c>
      <c r="B43" t="inlineStr">
        <is>
          <t>Legal 500</t>
        </is>
      </c>
      <c r="C43" t="inlineStr">
        <is>
          <t>Tier 4</t>
        </is>
      </c>
      <c r="D43" t="inlineStr">
        <is>
          <t>Magnusson</t>
        </is>
      </c>
      <c r="E43" t="inlineStr">
        <is>
          <t>Magnusson</t>
        </is>
      </c>
    </row>
    <row r="44">
      <c r="A44" t="inlineStr">
        <is>
          <t>Corporate / M&amp;A</t>
        </is>
      </c>
      <c r="B44" t="inlineStr">
        <is>
          <t>Legal 500</t>
        </is>
      </c>
      <c r="C44" t="inlineStr">
        <is>
          <t>Tier 4</t>
        </is>
      </c>
      <c r="D44" t="inlineStr">
        <is>
          <t>MAQS</t>
        </is>
      </c>
      <c r="E44" t="inlineStr">
        <is>
          <t>MAQS Advokatbyrå</t>
        </is>
      </c>
    </row>
    <row r="45">
      <c r="A45" t="inlineStr">
        <is>
          <t>Corporate / M&amp;A</t>
        </is>
      </c>
      <c r="B45" t="inlineStr">
        <is>
          <t>Legal 500</t>
        </is>
      </c>
      <c r="C45" t="inlineStr">
        <is>
          <t>Tier 4</t>
        </is>
      </c>
      <c r="D45" t="inlineStr">
        <is>
          <t>TM &amp; Partners</t>
        </is>
      </c>
      <c r="E45" t="inlineStr">
        <is>
          <t>TM &amp; Partners</t>
        </is>
      </c>
    </row>
    <row r="46">
      <c r="A46" t="inlineStr">
        <is>
          <t>Corporate / M&amp;A</t>
        </is>
      </c>
      <c r="B46" t="inlineStr">
        <is>
          <t>Legal 500</t>
        </is>
      </c>
      <c r="C46" t="inlineStr">
        <is>
          <t>Tier 5</t>
        </is>
      </c>
      <c r="D46" t="inlineStr">
        <is>
          <t>Schjødt</t>
        </is>
      </c>
      <c r="E46" t="inlineStr">
        <is>
          <t>Advokatfirman Schjødt</t>
        </is>
      </c>
    </row>
    <row r="47">
      <c r="A47" t="inlineStr">
        <is>
          <t>Corporate / M&amp;A</t>
        </is>
      </c>
      <c r="B47" t="inlineStr">
        <is>
          <t>Legal 500</t>
        </is>
      </c>
      <c r="C47" t="inlineStr">
        <is>
          <t>Tier 5</t>
        </is>
      </c>
      <c r="D47" t="inlineStr">
        <is>
          <t>Fylgia</t>
        </is>
      </c>
      <c r="E47" t="inlineStr">
        <is>
          <t>Advokatfirman Fylgia KB</t>
        </is>
      </c>
    </row>
    <row r="48">
      <c r="A48" t="inlineStr">
        <is>
          <t>Corporate / M&amp;A</t>
        </is>
      </c>
      <c r="B48" t="inlineStr">
        <is>
          <t>Legal 500</t>
        </is>
      </c>
      <c r="C48" t="inlineStr">
        <is>
          <t>Tier 5</t>
        </is>
      </c>
      <c r="D48" t="inlineStr">
        <is>
          <t>Kilpatrick Townsend &amp; Stockton Advokat KB</t>
        </is>
      </c>
      <c r="E48" t="inlineStr">
        <is>
          <t>Kilpatrick Townsend &amp; Stockton Advokat KB</t>
        </is>
      </c>
    </row>
    <row r="49">
      <c r="A49" t="inlineStr">
        <is>
          <t>Corporate / M&amp;A</t>
        </is>
      </c>
      <c r="B49" t="inlineStr">
        <is>
          <t>Legal 500</t>
        </is>
      </c>
      <c r="C49" t="inlineStr">
        <is>
          <t>Tier 5</t>
        </is>
      </c>
      <c r="D49" t="inlineStr">
        <is>
          <t>Morris Law</t>
        </is>
      </c>
      <c r="E49" t="inlineStr">
        <is>
          <t>Morris Law</t>
        </is>
      </c>
    </row>
    <row r="50">
      <c r="A50" t="inlineStr">
        <is>
          <t>Corporate / M&amp;A</t>
        </is>
      </c>
      <c r="B50" t="inlineStr">
        <is>
          <t>Legal 500</t>
        </is>
      </c>
      <c r="C50" t="inlineStr">
        <is>
          <t>Tier 5</t>
        </is>
      </c>
      <c r="D50" t="inlineStr">
        <is>
          <t>Wigge &amp; Partners</t>
        </is>
      </c>
      <c r="E50" t="inlineStr">
        <is>
          <t>Wigge &amp; Partners</t>
        </is>
      </c>
    </row>
    <row r="51">
      <c r="A51" t="inlineStr">
        <is>
          <t>Corporate / M&amp;A</t>
        </is>
      </c>
      <c r="B51" t="inlineStr">
        <is>
          <t>Legal 500</t>
        </is>
      </c>
      <c r="C51" t="inlineStr">
        <is>
          <t>Tier 5</t>
        </is>
      </c>
      <c r="D51" t="inlineStr">
        <is>
          <t>Synch</t>
        </is>
      </c>
      <c r="E51" t="inlineStr">
        <is>
          <t>Synch Law AB</t>
        </is>
      </c>
    </row>
    <row r="52">
      <c r="A52" t="inlineStr">
        <is>
          <t>Private equity</t>
        </is>
      </c>
      <c r="B52" t="inlineStr">
        <is>
          <t>Chambers</t>
        </is>
      </c>
      <c r="C52" t="inlineStr">
        <is>
          <t>Band 1</t>
        </is>
      </c>
      <c r="D52" t="inlineStr">
        <is>
          <t>Vinge</t>
        </is>
      </c>
      <c r="E52" t="inlineStr">
        <is>
          <t>Advokatfirman Vinge KB</t>
        </is>
      </c>
    </row>
    <row r="53">
      <c r="A53" t="inlineStr">
        <is>
          <t>Private equity</t>
        </is>
      </c>
      <c r="B53" t="inlineStr">
        <is>
          <t>Chambers</t>
        </is>
      </c>
      <c r="C53" t="inlineStr">
        <is>
          <t>Band 1</t>
        </is>
      </c>
      <c r="D53" t="inlineStr">
        <is>
          <t>Mannheimer Swartling</t>
        </is>
      </c>
      <c r="E53" t="inlineStr">
        <is>
          <t>Mannheimer Swartling</t>
        </is>
      </c>
    </row>
    <row r="54">
      <c r="A54" t="inlineStr">
        <is>
          <t>Private equity</t>
        </is>
      </c>
      <c r="B54" t="inlineStr">
        <is>
          <t>Chambers</t>
        </is>
      </c>
      <c r="C54" t="inlineStr">
        <is>
          <t>Band 1</t>
        </is>
      </c>
      <c r="D54" t="inlineStr">
        <is>
          <t>Roschier</t>
        </is>
      </c>
      <c r="E54" t="inlineStr">
        <is>
          <t>Roschier</t>
        </is>
      </c>
    </row>
    <row r="55">
      <c r="A55" t="inlineStr">
        <is>
          <t>Private equity</t>
        </is>
      </c>
      <c r="B55" t="inlineStr">
        <is>
          <t>Chambers</t>
        </is>
      </c>
      <c r="C55" t="inlineStr">
        <is>
          <t>Band 1</t>
        </is>
      </c>
      <c r="D55" t="inlineStr">
        <is>
          <t>White &amp; Case</t>
        </is>
      </c>
      <c r="E55" t="inlineStr">
        <is>
          <t>White &amp; Case Advokat AB</t>
        </is>
      </c>
    </row>
    <row r="56">
      <c r="A56" t="inlineStr">
        <is>
          <t>Private equity</t>
        </is>
      </c>
      <c r="B56" t="inlineStr">
        <is>
          <t>Chambers</t>
        </is>
      </c>
      <c r="C56" t="inlineStr">
        <is>
          <t>Band 2</t>
        </is>
      </c>
      <c r="D56" t="inlineStr">
        <is>
          <t>Gernandt &amp; Danielsson</t>
        </is>
      </c>
      <c r="E56" t="inlineStr">
        <is>
          <t>Gernandt &amp; Danielsson Advokatbyrå KB</t>
        </is>
      </c>
    </row>
    <row r="57">
      <c r="A57" t="inlineStr">
        <is>
          <t>Private equity</t>
        </is>
      </c>
      <c r="B57" t="inlineStr">
        <is>
          <t>Chambers</t>
        </is>
      </c>
      <c r="C57" t="inlineStr">
        <is>
          <t>Band 2</t>
        </is>
      </c>
      <c r="D57" t="inlineStr">
        <is>
          <t>Setterwalls</t>
        </is>
      </c>
      <c r="E57" t="inlineStr">
        <is>
          <t>Setterwalls</t>
        </is>
      </c>
    </row>
    <row r="58">
      <c r="A58" t="inlineStr">
        <is>
          <t>Private equity</t>
        </is>
      </c>
      <c r="B58" t="inlineStr">
        <is>
          <t>Chambers</t>
        </is>
      </c>
      <c r="C58" t="inlineStr">
        <is>
          <t>Band 3</t>
        </is>
      </c>
      <c r="D58" t="inlineStr">
        <is>
          <t>Cederquist</t>
        </is>
      </c>
      <c r="E58" t="inlineStr">
        <is>
          <t>Advokatfirman Cederquist KB</t>
        </is>
      </c>
    </row>
    <row r="59">
      <c r="A59" t="inlineStr">
        <is>
          <t>Private equity</t>
        </is>
      </c>
      <c r="B59" t="inlineStr">
        <is>
          <t>Chambers</t>
        </is>
      </c>
      <c r="C59" t="inlineStr">
        <is>
          <t>Band 3</t>
        </is>
      </c>
      <c r="D59" t="inlineStr">
        <is>
          <t>Baker McKenzie</t>
        </is>
      </c>
      <c r="E59" t="inlineStr">
        <is>
          <t>Baker McKenzie</t>
        </is>
      </c>
    </row>
    <row r="60">
      <c r="A60" t="inlineStr">
        <is>
          <t>Private equity</t>
        </is>
      </c>
      <c r="B60" t="inlineStr">
        <is>
          <t>Chambers</t>
        </is>
      </c>
      <c r="C60" t="inlineStr">
        <is>
          <t>Band 3</t>
        </is>
      </c>
      <c r="D60" t="inlineStr">
        <is>
          <t>DLA Piper</t>
        </is>
      </c>
      <c r="E60" t="inlineStr">
        <is>
          <t>DLA Piper</t>
        </is>
      </c>
    </row>
    <row r="61">
      <c r="A61" t="inlineStr">
        <is>
          <t>Private equity</t>
        </is>
      </c>
      <c r="B61" t="inlineStr">
        <is>
          <t>Chambers</t>
        </is>
      </c>
      <c r="C61" t="inlineStr">
        <is>
          <t>Band 3</t>
        </is>
      </c>
      <c r="D61" t="inlineStr">
        <is>
          <t>Snellman</t>
        </is>
      </c>
      <c r="E61" t="inlineStr">
        <is>
          <t>Snellman Advokatbyrå AB</t>
        </is>
      </c>
    </row>
    <row r="62">
      <c r="A62" t="inlineStr">
        <is>
          <t>Private equity</t>
        </is>
      </c>
      <c r="B62" t="inlineStr">
        <is>
          <t>Chambers</t>
        </is>
      </c>
      <c r="C62" t="inlineStr">
        <is>
          <t>Band 4</t>
        </is>
      </c>
      <c r="D62" t="inlineStr">
        <is>
          <t>Hammarskiöld</t>
        </is>
      </c>
      <c r="E62" t="inlineStr">
        <is>
          <t>Advokatfirman Hammarskiöld &amp; Co AB</t>
        </is>
      </c>
    </row>
    <row r="63">
      <c r="A63" t="inlineStr">
        <is>
          <t>Private equity</t>
        </is>
      </c>
      <c r="B63" t="inlineStr">
        <is>
          <t>Chambers</t>
        </is>
      </c>
      <c r="C63" t="inlineStr">
        <is>
          <t>Band 4</t>
        </is>
      </c>
      <c r="D63" t="inlineStr">
        <is>
          <t>Lindahl</t>
        </is>
      </c>
      <c r="E63" t="inlineStr">
        <is>
          <t>Advokatfirman Lindahl</t>
        </is>
      </c>
    </row>
    <row r="64">
      <c r="A64" t="inlineStr">
        <is>
          <t>Private equity</t>
        </is>
      </c>
      <c r="B64" t="inlineStr">
        <is>
          <t>Chambers</t>
        </is>
      </c>
      <c r="C64" t="inlineStr">
        <is>
          <t>Band 4</t>
        </is>
      </c>
      <c r="D64" t="inlineStr">
        <is>
          <t>Schjødt</t>
        </is>
      </c>
      <c r="E64" t="inlineStr">
        <is>
          <t>Advokatfirman Schjødt</t>
        </is>
      </c>
    </row>
    <row r="65">
      <c r="A65" t="inlineStr">
        <is>
          <t>Private equity</t>
        </is>
      </c>
      <c r="B65" t="inlineStr">
        <is>
          <t>Chambers</t>
        </is>
      </c>
      <c r="C65" t="inlineStr">
        <is>
          <t>Band 4</t>
        </is>
      </c>
      <c r="D65" t="inlineStr">
        <is>
          <t>Cirio</t>
        </is>
      </c>
      <c r="E65" t="inlineStr">
        <is>
          <t>Cirio Advokatbyrå AB</t>
        </is>
      </c>
    </row>
    <row r="66">
      <c r="A66" t="inlineStr">
        <is>
          <t>Private equity</t>
        </is>
      </c>
      <c r="B66" t="inlineStr">
        <is>
          <t>Chambers</t>
        </is>
      </c>
      <c r="C66" t="inlineStr">
        <is>
          <t>Band 4</t>
        </is>
      </c>
      <c r="D66" t="inlineStr">
        <is>
          <t>Delphi</t>
        </is>
      </c>
      <c r="E66" t="inlineStr">
        <is>
          <t>Delphi</t>
        </is>
      </c>
    </row>
    <row r="67">
      <c r="A67" t="inlineStr">
        <is>
          <t>Private equity</t>
        </is>
      </c>
      <c r="B67" t="inlineStr">
        <is>
          <t>Chambers</t>
        </is>
      </c>
      <c r="C67" t="inlineStr">
        <is>
          <t>Band 4</t>
        </is>
      </c>
      <c r="D67" t="inlineStr">
        <is>
          <t>Kanter</t>
        </is>
      </c>
      <c r="E67" t="inlineStr">
        <is>
          <t>KANTER Advokatbyrå</t>
        </is>
      </c>
    </row>
    <row r="68">
      <c r="A68" t="inlineStr">
        <is>
          <t>PE fund formation</t>
        </is>
      </c>
      <c r="B68" t="inlineStr">
        <is>
          <t>Chambers</t>
        </is>
      </c>
      <c r="C68" t="inlineStr">
        <is>
          <t>Band 1</t>
        </is>
      </c>
      <c r="D68" t="inlineStr">
        <is>
          <t>Vinge</t>
        </is>
      </c>
      <c r="E68" t="inlineStr">
        <is>
          <t>Advokatfirman Vinge KB</t>
        </is>
      </c>
    </row>
    <row r="69">
      <c r="A69" t="inlineStr">
        <is>
          <t>PE fund formation</t>
        </is>
      </c>
      <c r="B69" t="inlineStr">
        <is>
          <t>Chambers</t>
        </is>
      </c>
      <c r="C69" t="inlineStr">
        <is>
          <t>Band 1</t>
        </is>
      </c>
      <c r="D69" t="inlineStr">
        <is>
          <t>Andulf</t>
        </is>
      </c>
      <c r="E69" t="inlineStr">
        <is>
          <t>Andulf Advokat AB</t>
        </is>
      </c>
    </row>
    <row r="70">
      <c r="A70" t="inlineStr">
        <is>
          <t>PE fund formation</t>
        </is>
      </c>
      <c r="B70" t="inlineStr">
        <is>
          <t>Chambers</t>
        </is>
      </c>
      <c r="C70" t="inlineStr">
        <is>
          <t>Band 1</t>
        </is>
      </c>
      <c r="D70" t="inlineStr">
        <is>
          <t>Mannheimer Swartling</t>
        </is>
      </c>
      <c r="E70" t="inlineStr">
        <is>
          <t>Mannheimer Swartling</t>
        </is>
      </c>
    </row>
    <row r="71">
      <c r="A71" t="inlineStr">
        <is>
          <t>PE fund formation</t>
        </is>
      </c>
      <c r="B71" t="inlineStr">
        <is>
          <t>Chambers</t>
        </is>
      </c>
      <c r="C71" t="inlineStr">
        <is>
          <t>Band 2</t>
        </is>
      </c>
      <c r="D71" t="inlineStr">
        <is>
          <t>Wigge &amp; Partners</t>
        </is>
      </c>
      <c r="E71" t="inlineStr">
        <is>
          <t>Wigge</t>
        </is>
      </c>
    </row>
    <row r="72">
      <c r="A72" t="inlineStr">
        <is>
          <t>Banking &amp; finance</t>
        </is>
      </c>
      <c r="B72" t="inlineStr">
        <is>
          <t>Chambers</t>
        </is>
      </c>
      <c r="C72" t="inlineStr">
        <is>
          <t>Band 1</t>
        </is>
      </c>
      <c r="D72" t="inlineStr">
        <is>
          <t>Vinge</t>
        </is>
      </c>
      <c r="E72" t="inlineStr">
        <is>
          <t>Advokatfirman Vinge KB</t>
        </is>
      </c>
    </row>
    <row r="73">
      <c r="A73" t="inlineStr">
        <is>
          <t>Banking &amp; finance</t>
        </is>
      </c>
      <c r="B73" t="inlineStr">
        <is>
          <t>Chambers</t>
        </is>
      </c>
      <c r="C73" t="inlineStr">
        <is>
          <t>Band 1</t>
        </is>
      </c>
      <c r="D73" t="inlineStr">
        <is>
          <t>Mannheimer Swartling</t>
        </is>
      </c>
      <c r="E73" t="inlineStr">
        <is>
          <t>Mannheimer Swartling</t>
        </is>
      </c>
    </row>
    <row r="74">
      <c r="A74" t="inlineStr">
        <is>
          <t>Banking &amp; finance</t>
        </is>
      </c>
      <c r="B74" t="inlineStr">
        <is>
          <t>Chambers</t>
        </is>
      </c>
      <c r="C74" t="inlineStr">
        <is>
          <t>Band 2</t>
        </is>
      </c>
      <c r="D74" t="inlineStr">
        <is>
          <t>Cederquist</t>
        </is>
      </c>
      <c r="E74" t="inlineStr">
        <is>
          <t>Advokatfirman Cederquist KB</t>
        </is>
      </c>
    </row>
    <row r="75">
      <c r="A75" t="inlineStr">
        <is>
          <t>Banking &amp; finance</t>
        </is>
      </c>
      <c r="B75" t="inlineStr">
        <is>
          <t>Chambers</t>
        </is>
      </c>
      <c r="C75" t="inlineStr">
        <is>
          <t>Band 2</t>
        </is>
      </c>
      <c r="D75" t="inlineStr">
        <is>
          <t>Roschier</t>
        </is>
      </c>
      <c r="E75" t="inlineStr">
        <is>
          <t>Roschier</t>
        </is>
      </c>
    </row>
    <row r="76">
      <c r="A76" t="inlineStr">
        <is>
          <t>Banking &amp; finance</t>
        </is>
      </c>
      <c r="B76" t="inlineStr">
        <is>
          <t>Chambers</t>
        </is>
      </c>
      <c r="C76" t="inlineStr">
        <is>
          <t>Band 2</t>
        </is>
      </c>
      <c r="D76" t="inlineStr">
        <is>
          <t>Setterwalls</t>
        </is>
      </c>
      <c r="E76" t="inlineStr">
        <is>
          <t>Setterwalls</t>
        </is>
      </c>
    </row>
    <row r="77">
      <c r="A77" t="inlineStr">
        <is>
          <t>Banking &amp; finance</t>
        </is>
      </c>
      <c r="B77" t="inlineStr">
        <is>
          <t>Chambers</t>
        </is>
      </c>
      <c r="C77" t="inlineStr">
        <is>
          <t>Band 2</t>
        </is>
      </c>
      <c r="D77" t="inlineStr">
        <is>
          <t>White &amp; Case</t>
        </is>
      </c>
      <c r="E77" t="inlineStr">
        <is>
          <t>White &amp; Case Advokat AB</t>
        </is>
      </c>
    </row>
    <row r="78">
      <c r="A78" t="inlineStr">
        <is>
          <t>Banking &amp; finance</t>
        </is>
      </c>
      <c r="B78" t="inlineStr">
        <is>
          <t>Chambers</t>
        </is>
      </c>
      <c r="C78" t="inlineStr">
        <is>
          <t>Band 3</t>
        </is>
      </c>
      <c r="D78" t="inlineStr">
        <is>
          <t>Cirio</t>
        </is>
      </c>
      <c r="E78" t="inlineStr">
        <is>
          <t>Cirio Advokatbyrå AB</t>
        </is>
      </c>
    </row>
    <row r="79">
      <c r="A79" t="inlineStr">
        <is>
          <t>Banking &amp; finance</t>
        </is>
      </c>
      <c r="B79" t="inlineStr">
        <is>
          <t>Chambers</t>
        </is>
      </c>
      <c r="C79" t="inlineStr">
        <is>
          <t>Band 3</t>
        </is>
      </c>
      <c r="D79" t="inlineStr">
        <is>
          <t>Gernandt &amp; Danielsson</t>
        </is>
      </c>
      <c r="E79" t="inlineStr">
        <is>
          <t>Gernandt &amp; Danielsson Advokatbyrå KB</t>
        </is>
      </c>
    </row>
    <row r="80">
      <c r="A80" t="inlineStr">
        <is>
          <t>Banking &amp; finance</t>
        </is>
      </c>
      <c r="B80" t="inlineStr">
        <is>
          <t>Chambers</t>
        </is>
      </c>
      <c r="C80" t="inlineStr">
        <is>
          <t>Band 3</t>
        </is>
      </c>
      <c r="D80" t="inlineStr">
        <is>
          <t>TM &amp; Partners</t>
        </is>
      </c>
      <c r="E80" t="inlineStr">
        <is>
          <t>TM &amp; Partners</t>
        </is>
      </c>
    </row>
    <row r="81">
      <c r="A81" t="inlineStr">
        <is>
          <t>Banking &amp; finance</t>
        </is>
      </c>
      <c r="B81" t="inlineStr">
        <is>
          <t>Chambers</t>
        </is>
      </c>
      <c r="C81" t="inlineStr">
        <is>
          <t>Band 4</t>
        </is>
      </c>
      <c r="D81" t="inlineStr">
        <is>
          <t>Lindahl</t>
        </is>
      </c>
      <c r="E81" t="inlineStr">
        <is>
          <t>Advokatfirman Lindahl</t>
        </is>
      </c>
    </row>
    <row r="82">
      <c r="A82" t="inlineStr">
        <is>
          <t>Banking &amp; finance</t>
        </is>
      </c>
      <c r="B82" t="inlineStr">
        <is>
          <t>Chambers</t>
        </is>
      </c>
      <c r="C82" t="inlineStr">
        <is>
          <t>Band 4</t>
        </is>
      </c>
      <c r="D82" t="inlineStr">
        <is>
          <t>Schjødt</t>
        </is>
      </c>
      <c r="E82" t="inlineStr">
        <is>
          <t>Advokatfirman Schjødt</t>
        </is>
      </c>
    </row>
    <row r="83">
      <c r="A83" t="inlineStr">
        <is>
          <t>Banking &amp; finance</t>
        </is>
      </c>
      <c r="B83" t="inlineStr">
        <is>
          <t>Chambers</t>
        </is>
      </c>
      <c r="C83" t="inlineStr">
        <is>
          <t>Band 4</t>
        </is>
      </c>
      <c r="D83" t="inlineStr">
        <is>
          <t>BAHR</t>
        </is>
      </c>
      <c r="E83" t="inlineStr">
        <is>
          <t>BAHR</t>
        </is>
      </c>
    </row>
    <row r="84">
      <c r="A84" t="inlineStr">
        <is>
          <t>Banking &amp; finance</t>
        </is>
      </c>
      <c r="B84" t="inlineStr">
        <is>
          <t>Chambers</t>
        </is>
      </c>
      <c r="C84" t="inlineStr">
        <is>
          <t>Band 4</t>
        </is>
      </c>
      <c r="D84" t="inlineStr">
        <is>
          <t>Baker McKenzie</t>
        </is>
      </c>
      <c r="E84" t="inlineStr">
        <is>
          <t>Baker McKenzie</t>
        </is>
      </c>
    </row>
    <row r="85">
      <c r="A85" t="inlineStr">
        <is>
          <t>Banking &amp; finance</t>
        </is>
      </c>
      <c r="B85" t="inlineStr">
        <is>
          <t>Chambers</t>
        </is>
      </c>
      <c r="C85" t="inlineStr">
        <is>
          <t>Band 4</t>
        </is>
      </c>
      <c r="D85" t="inlineStr">
        <is>
          <t>CMS Wistrand</t>
        </is>
      </c>
      <c r="E85" t="inlineStr">
        <is>
          <t>CMS Wistrand</t>
        </is>
      </c>
    </row>
    <row r="86">
      <c r="A86" t="inlineStr">
        <is>
          <t>Banking &amp; finance</t>
        </is>
      </c>
      <c r="B86" t="inlineStr">
        <is>
          <t>Chambers</t>
        </is>
      </c>
      <c r="C86" t="inlineStr">
        <is>
          <t>Band 4</t>
        </is>
      </c>
      <c r="D86" t="inlineStr">
        <is>
          <t>DLA Piper</t>
        </is>
      </c>
      <c r="E86" t="inlineStr">
        <is>
          <t>DLA Piper</t>
        </is>
      </c>
    </row>
    <row r="87">
      <c r="A87" t="inlineStr">
        <is>
          <t>Banking &amp; finance</t>
        </is>
      </c>
      <c r="B87" t="inlineStr">
        <is>
          <t>Chambers</t>
        </is>
      </c>
      <c r="C87" t="inlineStr">
        <is>
          <t>Band 4</t>
        </is>
      </c>
      <c r="D87" t="inlineStr">
        <is>
          <t>Linklaters</t>
        </is>
      </c>
      <c r="E87" t="inlineStr">
        <is>
          <t>Linklaters Advokatbyrå</t>
        </is>
      </c>
    </row>
    <row r="88">
      <c r="A88" t="inlineStr">
        <is>
          <t>Banking &amp; finance</t>
        </is>
      </c>
      <c r="B88" t="inlineStr">
        <is>
          <t>Chambers</t>
        </is>
      </c>
      <c r="C88" t="inlineStr">
        <is>
          <t>Band 4</t>
        </is>
      </c>
      <c r="D88" t="inlineStr">
        <is>
          <t>RE:FI STHLM</t>
        </is>
      </c>
      <c r="E88" t="inlineStr">
        <is>
          <t>RE:FI STHLM</t>
        </is>
      </c>
    </row>
    <row r="89">
      <c r="A89" t="inlineStr">
        <is>
          <t>Banking &amp; finance</t>
        </is>
      </c>
      <c r="B89" t="inlineStr">
        <is>
          <t>Chambers</t>
        </is>
      </c>
      <c r="C89" t="inlineStr">
        <is>
          <t>Band 4</t>
        </is>
      </c>
      <c r="D89" t="inlineStr">
        <is>
          <t>Snellman</t>
        </is>
      </c>
      <c r="E89" t="inlineStr">
        <is>
          <t>Snellman Advokatbyrå AB</t>
        </is>
      </c>
    </row>
    <row r="90">
      <c r="A90" t="inlineStr">
        <is>
          <t>Banking &amp; finance</t>
        </is>
      </c>
      <c r="B90" t="inlineStr">
        <is>
          <t>Chambers</t>
        </is>
      </c>
      <c r="C90" t="inlineStr">
        <is>
          <t>Band 4</t>
        </is>
      </c>
      <c r="D90" t="inlineStr">
        <is>
          <t>Wigge &amp; Partners</t>
        </is>
      </c>
      <c r="E90" t="inlineStr">
        <is>
          <t>Wigge</t>
        </is>
      </c>
    </row>
    <row r="91">
      <c r="A91" t="inlineStr">
        <is>
          <t>Banking &amp; finance</t>
        </is>
      </c>
      <c r="B91" t="inlineStr">
        <is>
          <t>Legal 500</t>
        </is>
      </c>
      <c r="C91" t="inlineStr">
        <is>
          <t>Tier 1</t>
        </is>
      </c>
      <c r="D91" t="inlineStr">
        <is>
          <t>Gernandt &amp; Danielsson</t>
        </is>
      </c>
      <c r="E91" t="inlineStr">
        <is>
          <t>Gernandt &amp; Danielsson Advokatbyrå</t>
        </is>
      </c>
    </row>
    <row r="92">
      <c r="A92" t="inlineStr">
        <is>
          <t>Banking &amp; finance</t>
        </is>
      </c>
      <c r="B92" t="inlineStr">
        <is>
          <t>Legal 500</t>
        </is>
      </c>
      <c r="C92" t="inlineStr">
        <is>
          <t>Tier 1</t>
        </is>
      </c>
      <c r="D92" t="inlineStr">
        <is>
          <t>Mannheimer Swartling</t>
        </is>
      </c>
      <c r="E92" t="inlineStr">
        <is>
          <t>Mannheimer Swartling</t>
        </is>
      </c>
    </row>
    <row r="93">
      <c r="A93" t="inlineStr">
        <is>
          <t>Banking &amp; finance</t>
        </is>
      </c>
      <c r="B93" t="inlineStr">
        <is>
          <t>Legal 500</t>
        </is>
      </c>
      <c r="C93" t="inlineStr">
        <is>
          <t>Tier 1</t>
        </is>
      </c>
      <c r="D93" t="inlineStr">
        <is>
          <t>Roschier</t>
        </is>
      </c>
      <c r="E93" t="inlineStr">
        <is>
          <t>Roschier</t>
        </is>
      </c>
    </row>
    <row r="94">
      <c r="A94" t="inlineStr">
        <is>
          <t>Banking &amp; finance</t>
        </is>
      </c>
      <c r="B94" t="inlineStr">
        <is>
          <t>Legal 500</t>
        </is>
      </c>
      <c r="C94" t="inlineStr">
        <is>
          <t>Tier 1</t>
        </is>
      </c>
      <c r="D94" t="inlineStr">
        <is>
          <t>Setterwalls</t>
        </is>
      </c>
      <c r="E94" t="inlineStr">
        <is>
          <t>Setterwalls</t>
        </is>
      </c>
    </row>
    <row r="95">
      <c r="A95" t="inlineStr">
        <is>
          <t>Banking &amp; finance</t>
        </is>
      </c>
      <c r="B95" t="inlineStr">
        <is>
          <t>Legal 500</t>
        </is>
      </c>
      <c r="C95" t="inlineStr">
        <is>
          <t>Tier 1</t>
        </is>
      </c>
      <c r="D95" t="inlineStr">
        <is>
          <t>Vinge</t>
        </is>
      </c>
      <c r="E95" t="inlineStr">
        <is>
          <t>Advokatfirman Vinge KB</t>
        </is>
      </c>
    </row>
    <row r="96">
      <c r="A96" t="inlineStr">
        <is>
          <t>Banking &amp; finance</t>
        </is>
      </c>
      <c r="B96" t="inlineStr">
        <is>
          <t>Legal 500</t>
        </is>
      </c>
      <c r="C96" t="inlineStr">
        <is>
          <t>Tier 2</t>
        </is>
      </c>
      <c r="D96" t="inlineStr">
        <is>
          <t>Baker McKenzie</t>
        </is>
      </c>
      <c r="E96" t="inlineStr">
        <is>
          <t>Baker McKenzie</t>
        </is>
      </c>
    </row>
    <row r="97">
      <c r="A97" t="inlineStr">
        <is>
          <t>Banking &amp; finance</t>
        </is>
      </c>
      <c r="B97" t="inlineStr">
        <is>
          <t>Legal 500</t>
        </is>
      </c>
      <c r="C97" t="inlineStr">
        <is>
          <t>Tier 2</t>
        </is>
      </c>
      <c r="D97" t="inlineStr">
        <is>
          <t>Cederquist</t>
        </is>
      </c>
      <c r="E97" t="inlineStr">
        <is>
          <t>Advokatfirman Cederquist KB</t>
        </is>
      </c>
    </row>
    <row r="98">
      <c r="A98" t="inlineStr">
        <is>
          <t>Banking &amp; finance</t>
        </is>
      </c>
      <c r="B98" t="inlineStr">
        <is>
          <t>Legal 500</t>
        </is>
      </c>
      <c r="C98" t="inlineStr">
        <is>
          <t>Tier 2</t>
        </is>
      </c>
      <c r="D98" t="inlineStr">
        <is>
          <t>Cirio</t>
        </is>
      </c>
      <c r="E98" t="inlineStr">
        <is>
          <t>Cirio Advokatbyrå AB</t>
        </is>
      </c>
    </row>
    <row r="99">
      <c r="A99" t="inlineStr">
        <is>
          <t>Banking &amp; finance</t>
        </is>
      </c>
      <c r="B99" t="inlineStr">
        <is>
          <t>Legal 500</t>
        </is>
      </c>
      <c r="C99" t="inlineStr">
        <is>
          <t>Tier 2</t>
        </is>
      </c>
      <c r="D99" t="inlineStr">
        <is>
          <t>DLA Piper</t>
        </is>
      </c>
      <c r="E99" t="inlineStr">
        <is>
          <t>DLA Piper Sweden</t>
        </is>
      </c>
    </row>
    <row r="100">
      <c r="A100" t="inlineStr">
        <is>
          <t>Banking &amp; finance</t>
        </is>
      </c>
      <c r="B100" t="inlineStr">
        <is>
          <t>Legal 500</t>
        </is>
      </c>
      <c r="C100" t="inlineStr">
        <is>
          <t>Tier 2</t>
        </is>
      </c>
      <c r="D100" t="inlineStr">
        <is>
          <t>Eversheds Sutherland</t>
        </is>
      </c>
      <c r="E100" t="inlineStr">
        <is>
          <t>Eversheds Sutherland</t>
        </is>
      </c>
    </row>
    <row r="101">
      <c r="A101" t="inlineStr">
        <is>
          <t>Banking &amp; finance</t>
        </is>
      </c>
      <c r="B101" t="inlineStr">
        <is>
          <t>Legal 500</t>
        </is>
      </c>
      <c r="C101" t="inlineStr">
        <is>
          <t>Tier 2</t>
        </is>
      </c>
      <c r="D101" t="inlineStr">
        <is>
          <t>Hammarskiöld</t>
        </is>
      </c>
      <c r="E101" t="inlineStr">
        <is>
          <t>Hammarskiöld</t>
        </is>
      </c>
    </row>
    <row r="102">
      <c r="A102" t="inlineStr">
        <is>
          <t>Banking &amp; finance</t>
        </is>
      </c>
      <c r="B102" t="inlineStr">
        <is>
          <t>Legal 500</t>
        </is>
      </c>
      <c r="C102" t="inlineStr">
        <is>
          <t>Tier 2</t>
        </is>
      </c>
      <c r="D102" t="inlineStr">
        <is>
          <t>Snellman</t>
        </is>
      </c>
      <c r="E102" t="inlineStr">
        <is>
          <t>Snellman</t>
        </is>
      </c>
    </row>
    <row r="103">
      <c r="A103" t="inlineStr">
        <is>
          <t>Banking &amp; finance</t>
        </is>
      </c>
      <c r="B103" t="inlineStr">
        <is>
          <t>Legal 500</t>
        </is>
      </c>
      <c r="C103" t="inlineStr">
        <is>
          <t>Tier 3</t>
        </is>
      </c>
      <c r="D103" t="inlineStr">
        <is>
          <t>CMS Wistrand</t>
        </is>
      </c>
      <c r="E103" t="inlineStr">
        <is>
          <t>CMS Wistrand</t>
        </is>
      </c>
    </row>
    <row r="104">
      <c r="A104" t="inlineStr">
        <is>
          <t>Banking &amp; finance</t>
        </is>
      </c>
      <c r="B104" t="inlineStr">
        <is>
          <t>Legal 500</t>
        </is>
      </c>
      <c r="C104" t="inlineStr">
        <is>
          <t>Tier 3</t>
        </is>
      </c>
      <c r="D104" t="inlineStr">
        <is>
          <t>Harvest</t>
        </is>
      </c>
      <c r="E104" t="inlineStr">
        <is>
          <t>Harvest Advokatbyrå</t>
        </is>
      </c>
    </row>
    <row r="105">
      <c r="A105" t="inlineStr">
        <is>
          <t>Banking &amp; finance</t>
        </is>
      </c>
      <c r="B105" t="inlineStr">
        <is>
          <t>Legal 500</t>
        </is>
      </c>
      <c r="C105" t="inlineStr">
        <is>
          <t>Tier 3</t>
        </is>
      </c>
      <c r="D105" t="inlineStr">
        <is>
          <t>Lindahl</t>
        </is>
      </c>
      <c r="E105" t="inlineStr">
        <is>
          <t>Advokatfirman Lindahl KB</t>
        </is>
      </c>
    </row>
    <row r="106">
      <c r="A106" t="inlineStr">
        <is>
          <t>Banking &amp; finance</t>
        </is>
      </c>
      <c r="B106" t="inlineStr">
        <is>
          <t>Legal 500</t>
        </is>
      </c>
      <c r="C106" t="inlineStr">
        <is>
          <t>Tier 3</t>
        </is>
      </c>
      <c r="D106" t="inlineStr">
        <is>
          <t>Linklaters</t>
        </is>
      </c>
      <c r="E106" t="inlineStr">
        <is>
          <t>Linklaters</t>
        </is>
      </c>
    </row>
    <row r="107">
      <c r="A107" t="inlineStr">
        <is>
          <t>Banking &amp; finance</t>
        </is>
      </c>
      <c r="B107" t="inlineStr">
        <is>
          <t>Legal 500</t>
        </is>
      </c>
      <c r="C107" t="inlineStr">
        <is>
          <t>Tier 3</t>
        </is>
      </c>
      <c r="D107" t="inlineStr">
        <is>
          <t>Magnusson</t>
        </is>
      </c>
      <c r="E107" t="inlineStr">
        <is>
          <t>Magnusson</t>
        </is>
      </c>
    </row>
    <row r="108">
      <c r="A108" t="inlineStr">
        <is>
          <t>Banking &amp; finance</t>
        </is>
      </c>
      <c r="B108" t="inlineStr">
        <is>
          <t>Legal 500</t>
        </is>
      </c>
      <c r="C108" t="inlineStr">
        <is>
          <t>Tier 3</t>
        </is>
      </c>
      <c r="D108" t="inlineStr">
        <is>
          <t>Schjødt</t>
        </is>
      </c>
      <c r="E108" t="inlineStr">
        <is>
          <t>Advokatfirman Schjødt</t>
        </is>
      </c>
    </row>
    <row r="109">
      <c r="A109" t="inlineStr">
        <is>
          <t>Banking &amp; finance</t>
        </is>
      </c>
      <c r="B109" t="inlineStr">
        <is>
          <t>Legal 500</t>
        </is>
      </c>
      <c r="C109" t="inlineStr">
        <is>
          <t>Tier 3</t>
        </is>
      </c>
      <c r="D109" t="inlineStr">
        <is>
          <t>TM &amp; Partners</t>
        </is>
      </c>
      <c r="E109" t="inlineStr">
        <is>
          <t>TM &amp; Partners</t>
        </is>
      </c>
    </row>
    <row r="110">
      <c r="A110" t="inlineStr">
        <is>
          <t>Banking &amp; finance</t>
        </is>
      </c>
      <c r="B110" t="inlineStr">
        <is>
          <t>Legal 500</t>
        </is>
      </c>
      <c r="C110" t="inlineStr">
        <is>
          <t>Tier 3</t>
        </is>
      </c>
      <c r="D110" t="inlineStr">
        <is>
          <t>White &amp; Case</t>
        </is>
      </c>
      <c r="E110" t="inlineStr">
        <is>
          <t>White &amp; Case Advokat AB</t>
        </is>
      </c>
    </row>
    <row r="111">
      <c r="A111" t="inlineStr">
        <is>
          <t>Banking &amp; finance</t>
        </is>
      </c>
      <c r="B111" t="inlineStr">
        <is>
          <t>Legal 500</t>
        </is>
      </c>
      <c r="C111" t="inlineStr">
        <is>
          <t>Tier 3</t>
        </is>
      </c>
      <c r="D111" t="inlineStr">
        <is>
          <t>Wigge &amp; Partners</t>
        </is>
      </c>
      <c r="E111" t="inlineStr">
        <is>
          <t>Wigge &amp; Partners</t>
        </is>
      </c>
    </row>
    <row r="112">
      <c r="A112" t="inlineStr">
        <is>
          <t>Banking &amp; finance</t>
        </is>
      </c>
      <c r="B112" t="inlineStr">
        <is>
          <t>Legal 500</t>
        </is>
      </c>
      <c r="C112" t="inlineStr">
        <is>
          <t>Tier 3</t>
        </is>
      </c>
      <c r="D112" t="inlineStr">
        <is>
          <t>RE:FI STHLM</t>
        </is>
      </c>
      <c r="E112" t="inlineStr">
        <is>
          <t>RE:FI STHLM</t>
        </is>
      </c>
    </row>
    <row r="113">
      <c r="A113" t="inlineStr">
        <is>
          <t>Banking &amp; finance</t>
        </is>
      </c>
      <c r="B113" t="inlineStr">
        <is>
          <t>Legal 500</t>
        </is>
      </c>
      <c r="C113" t="inlineStr">
        <is>
          <t>Firms to watch</t>
        </is>
      </c>
      <c r="D113" t="inlineStr">
        <is>
          <t>BAHR</t>
        </is>
      </c>
      <c r="E113" t="inlineStr">
        <is>
          <t>BAHR</t>
        </is>
      </c>
    </row>
    <row r="114">
      <c r="A114" t="inlineStr">
        <is>
          <t>Capital markets: equity</t>
        </is>
      </c>
      <c r="B114" t="inlineStr">
        <is>
          <t>Chambers</t>
        </is>
      </c>
      <c r="C114" t="inlineStr">
        <is>
          <t>Band 1</t>
        </is>
      </c>
      <c r="D114" t="inlineStr">
        <is>
          <t>Vinge</t>
        </is>
      </c>
      <c r="E114" t="inlineStr">
        <is>
          <t>Advokatfirman Vinge KB</t>
        </is>
      </c>
    </row>
    <row r="115">
      <c r="A115" t="inlineStr">
        <is>
          <t>Capital markets: equity</t>
        </is>
      </c>
      <c r="B115" t="inlineStr">
        <is>
          <t>Chambers</t>
        </is>
      </c>
      <c r="C115" t="inlineStr">
        <is>
          <t>Band 1</t>
        </is>
      </c>
      <c r="D115" t="inlineStr">
        <is>
          <t>Gernandt &amp; Danielsson</t>
        </is>
      </c>
      <c r="E115" t="inlineStr">
        <is>
          <t>Gernandt &amp; Danielsson Advokatbyrå KB</t>
        </is>
      </c>
    </row>
    <row r="116">
      <c r="A116" t="inlineStr">
        <is>
          <t>Capital markets: equity</t>
        </is>
      </c>
      <c r="B116" t="inlineStr">
        <is>
          <t>Chambers</t>
        </is>
      </c>
      <c r="C116" t="inlineStr">
        <is>
          <t>Band 2</t>
        </is>
      </c>
      <c r="D116" t="inlineStr">
        <is>
          <t>Mannheimer Swartling</t>
        </is>
      </c>
      <c r="E116" t="inlineStr">
        <is>
          <t>Mannheimer Swartling</t>
        </is>
      </c>
    </row>
    <row r="117">
      <c r="A117" t="inlineStr">
        <is>
          <t>Capital markets: equity</t>
        </is>
      </c>
      <c r="B117" t="inlineStr">
        <is>
          <t>Chambers</t>
        </is>
      </c>
      <c r="C117" t="inlineStr">
        <is>
          <t>Band 2</t>
        </is>
      </c>
      <c r="D117" t="inlineStr">
        <is>
          <t>Roschier</t>
        </is>
      </c>
      <c r="E117" t="inlineStr">
        <is>
          <t>Roschier</t>
        </is>
      </c>
    </row>
    <row r="118">
      <c r="A118" t="inlineStr">
        <is>
          <t>Capital markets: equity</t>
        </is>
      </c>
      <c r="B118" t="inlineStr">
        <is>
          <t>Chambers</t>
        </is>
      </c>
      <c r="C118" t="inlineStr">
        <is>
          <t>Band 2</t>
        </is>
      </c>
      <c r="D118" t="inlineStr">
        <is>
          <t>White &amp; Case</t>
        </is>
      </c>
      <c r="E118" t="inlineStr">
        <is>
          <t>White &amp; Case Advokat AB</t>
        </is>
      </c>
    </row>
    <row r="119">
      <c r="A119" t="inlineStr">
        <is>
          <t>Capital markets: equity</t>
        </is>
      </c>
      <c r="B119" t="inlineStr">
        <is>
          <t>Chambers</t>
        </is>
      </c>
      <c r="C119" t="inlineStr">
        <is>
          <t>Band 3</t>
        </is>
      </c>
      <c r="D119" t="inlineStr">
        <is>
          <t>Cederquist</t>
        </is>
      </c>
      <c r="E119" t="inlineStr">
        <is>
          <t>Advokatfirman Cederquist KB</t>
        </is>
      </c>
    </row>
    <row r="120">
      <c r="A120" t="inlineStr">
        <is>
          <t>Capital markets: equity</t>
        </is>
      </c>
      <c r="B120" t="inlineStr">
        <is>
          <t>Chambers</t>
        </is>
      </c>
      <c r="C120" t="inlineStr">
        <is>
          <t>Band 3</t>
        </is>
      </c>
      <c r="D120" t="inlineStr">
        <is>
          <t>Schjødt</t>
        </is>
      </c>
      <c r="E120" t="inlineStr">
        <is>
          <t>Advokatfirman Schjødt</t>
        </is>
      </c>
    </row>
    <row r="121">
      <c r="A121" t="inlineStr">
        <is>
          <t>Capital markets: equity</t>
        </is>
      </c>
      <c r="B121" t="inlineStr">
        <is>
          <t>Chambers</t>
        </is>
      </c>
      <c r="C121" t="inlineStr">
        <is>
          <t>Band 3</t>
        </is>
      </c>
      <c r="D121" t="inlineStr">
        <is>
          <t>Baker McKenzie</t>
        </is>
      </c>
      <c r="E121" t="inlineStr">
        <is>
          <t>Baker McKenzie</t>
        </is>
      </c>
    </row>
    <row r="122">
      <c r="A122" t="inlineStr">
        <is>
          <t>Capital markets: equity</t>
        </is>
      </c>
      <c r="B122" t="inlineStr">
        <is>
          <t>Chambers</t>
        </is>
      </c>
      <c r="C122" t="inlineStr">
        <is>
          <t>Band 3</t>
        </is>
      </c>
      <c r="D122" t="inlineStr">
        <is>
          <t>Setterwalls</t>
        </is>
      </c>
      <c r="E122" t="inlineStr">
        <is>
          <t>Setterwalls</t>
        </is>
      </c>
    </row>
    <row r="123">
      <c r="A123" t="inlineStr">
        <is>
          <t>Capital markets: equity</t>
        </is>
      </c>
      <c r="B123" t="inlineStr">
        <is>
          <t>Chambers</t>
        </is>
      </c>
      <c r="C123" t="inlineStr">
        <is>
          <t>Band 3</t>
        </is>
      </c>
      <c r="D123" t="inlineStr">
        <is>
          <t>Snellman</t>
        </is>
      </c>
      <c r="E123" t="inlineStr">
        <is>
          <t>Snellman Advokatbyrå AB</t>
        </is>
      </c>
    </row>
    <row r="124">
      <c r="A124" t="inlineStr">
        <is>
          <t>Capital markets: equity</t>
        </is>
      </c>
      <c r="B124" t="inlineStr">
        <is>
          <t>Chambers</t>
        </is>
      </c>
      <c r="C124" t="inlineStr">
        <is>
          <t>Band 4</t>
        </is>
      </c>
      <c r="D124" t="inlineStr">
        <is>
          <t>Lindahl</t>
        </is>
      </c>
      <c r="E124" t="inlineStr">
        <is>
          <t>Advokatfirman Lindahl</t>
        </is>
      </c>
    </row>
    <row r="125">
      <c r="A125" t="inlineStr">
        <is>
          <t>Capital markets: equity</t>
        </is>
      </c>
      <c r="B125" t="inlineStr">
        <is>
          <t>Chambers</t>
        </is>
      </c>
      <c r="C125" t="inlineStr">
        <is>
          <t>Band 4</t>
        </is>
      </c>
      <c r="D125" t="inlineStr">
        <is>
          <t>BAHR</t>
        </is>
      </c>
      <c r="E125" t="inlineStr">
        <is>
          <t>BAHR</t>
        </is>
      </c>
    </row>
    <row r="126">
      <c r="A126" t="inlineStr">
        <is>
          <t>Capital markets: equity</t>
        </is>
      </c>
      <c r="B126" t="inlineStr">
        <is>
          <t>Chambers</t>
        </is>
      </c>
      <c r="C126" t="inlineStr">
        <is>
          <t>Band 4</t>
        </is>
      </c>
      <c r="D126" t="inlineStr">
        <is>
          <t>Cirio</t>
        </is>
      </c>
      <c r="E126" t="inlineStr">
        <is>
          <t>Cirio Advokatbyrå AB</t>
        </is>
      </c>
    </row>
    <row r="127">
      <c r="A127" t="inlineStr">
        <is>
          <t>Capital markets: equity</t>
        </is>
      </c>
      <c r="B127" t="inlineStr">
        <is>
          <t>Chambers</t>
        </is>
      </c>
      <c r="C127" t="inlineStr">
        <is>
          <t>Band 4</t>
        </is>
      </c>
      <c r="D127" t="inlineStr">
        <is>
          <t>Linklaters</t>
        </is>
      </c>
      <c r="E127" t="inlineStr">
        <is>
          <t>Linklaters Advokatbyrå</t>
        </is>
      </c>
    </row>
    <row r="128">
      <c r="A128" t="inlineStr">
        <is>
          <t>Capital markets: equity</t>
        </is>
      </c>
      <c r="B128" t="inlineStr">
        <is>
          <t>Chambers</t>
        </is>
      </c>
      <c r="C128" t="inlineStr">
        <is>
          <t>Band 4</t>
        </is>
      </c>
      <c r="D128" t="inlineStr">
        <is>
          <t>TM &amp; Partners</t>
        </is>
      </c>
      <c r="E128" t="inlineStr">
        <is>
          <t>TM &amp; Partners</t>
        </is>
      </c>
    </row>
    <row r="129">
      <c r="A129" t="inlineStr">
        <is>
          <t>Capital markets: equity</t>
        </is>
      </c>
      <c r="B129" t="inlineStr">
        <is>
          <t>Chambers</t>
        </is>
      </c>
      <c r="C129" t="inlineStr">
        <is>
          <t>Band 4</t>
        </is>
      </c>
      <c r="D129" t="inlineStr">
        <is>
          <t>Wigge &amp; Partners</t>
        </is>
      </c>
      <c r="E129" t="inlineStr">
        <is>
          <t>Wigge</t>
        </is>
      </c>
    </row>
    <row r="130">
      <c r="A130" t="inlineStr">
        <is>
          <t>Capital markets: equity</t>
        </is>
      </c>
      <c r="B130" t="inlineStr">
        <is>
          <t>Legal 500</t>
        </is>
      </c>
      <c r="C130" t="inlineStr">
        <is>
          <t>Tier 1</t>
        </is>
      </c>
      <c r="D130" t="inlineStr">
        <is>
          <t>Baker McKenzie</t>
        </is>
      </c>
      <c r="E130" t="inlineStr">
        <is>
          <t>Baker McKenzie</t>
        </is>
      </c>
    </row>
    <row r="131">
      <c r="A131" t="inlineStr">
        <is>
          <t>Capital markets: equity</t>
        </is>
      </c>
      <c r="B131" t="inlineStr">
        <is>
          <t>Legal 500</t>
        </is>
      </c>
      <c r="C131" t="inlineStr">
        <is>
          <t>Tier 1</t>
        </is>
      </c>
      <c r="D131" t="inlineStr">
        <is>
          <t>Gernandt &amp; Danielsson</t>
        </is>
      </c>
      <c r="E131" t="inlineStr">
        <is>
          <t>Gernandt &amp; Danielsson Advokatbyrå</t>
        </is>
      </c>
    </row>
    <row r="132">
      <c r="A132" t="inlineStr">
        <is>
          <t>Capital markets: equity</t>
        </is>
      </c>
      <c r="B132" t="inlineStr">
        <is>
          <t>Legal 500</t>
        </is>
      </c>
      <c r="C132" t="inlineStr">
        <is>
          <t>Tier 1</t>
        </is>
      </c>
      <c r="D132" t="inlineStr">
        <is>
          <t>Mannheimer Swartling</t>
        </is>
      </c>
      <c r="E132" t="inlineStr">
        <is>
          <t>Mannheimer Swartling</t>
        </is>
      </c>
    </row>
    <row r="133">
      <c r="A133" t="inlineStr">
        <is>
          <t>Capital markets: equity</t>
        </is>
      </c>
      <c r="B133" t="inlineStr">
        <is>
          <t>Legal 500</t>
        </is>
      </c>
      <c r="C133" t="inlineStr">
        <is>
          <t>Tier 1</t>
        </is>
      </c>
      <c r="D133" t="inlineStr">
        <is>
          <t>Roschier</t>
        </is>
      </c>
      <c r="E133" t="inlineStr">
        <is>
          <t>Roschier</t>
        </is>
      </c>
    </row>
    <row r="134">
      <c r="A134" t="inlineStr">
        <is>
          <t>Capital markets: equity</t>
        </is>
      </c>
      <c r="B134" t="inlineStr">
        <is>
          <t>Legal 500</t>
        </is>
      </c>
      <c r="C134" t="inlineStr">
        <is>
          <t>Tier 1</t>
        </is>
      </c>
      <c r="D134" t="inlineStr">
        <is>
          <t>Vinge</t>
        </is>
      </c>
      <c r="E134" t="inlineStr">
        <is>
          <t>Advokatfirman Vinge KB</t>
        </is>
      </c>
    </row>
    <row r="135">
      <c r="A135" t="inlineStr">
        <is>
          <t>Capital markets: equity</t>
        </is>
      </c>
      <c r="B135" t="inlineStr">
        <is>
          <t>Legal 500</t>
        </is>
      </c>
      <c r="C135" t="inlineStr">
        <is>
          <t>Tier 1</t>
        </is>
      </c>
      <c r="D135" t="inlineStr">
        <is>
          <t>White &amp; Case</t>
        </is>
      </c>
      <c r="E135" t="inlineStr">
        <is>
          <t>White &amp; Case Advokat AB</t>
        </is>
      </c>
    </row>
    <row r="136">
      <c r="A136" t="inlineStr">
        <is>
          <t>Capital markets: equity</t>
        </is>
      </c>
      <c r="B136" t="inlineStr">
        <is>
          <t>Legal 500</t>
        </is>
      </c>
      <c r="C136" t="inlineStr">
        <is>
          <t>Tier 2</t>
        </is>
      </c>
      <c r="D136" t="inlineStr">
        <is>
          <t>Cederquist</t>
        </is>
      </c>
      <c r="E136" t="inlineStr">
        <is>
          <t>Advokatfirman Cederquist KB</t>
        </is>
      </c>
    </row>
    <row r="137">
      <c r="A137" t="inlineStr">
        <is>
          <t>Capital markets: equity</t>
        </is>
      </c>
      <c r="B137" t="inlineStr">
        <is>
          <t>Legal 500</t>
        </is>
      </c>
      <c r="C137" t="inlineStr">
        <is>
          <t>Tier 2</t>
        </is>
      </c>
      <c r="D137" t="inlineStr">
        <is>
          <t>Linklaters</t>
        </is>
      </c>
      <c r="E137" t="inlineStr">
        <is>
          <t>Linklaters</t>
        </is>
      </c>
    </row>
    <row r="138">
      <c r="A138" t="inlineStr">
        <is>
          <t>Capital markets: equity</t>
        </is>
      </c>
      <c r="B138" t="inlineStr">
        <is>
          <t>Legal 500</t>
        </is>
      </c>
      <c r="C138" t="inlineStr">
        <is>
          <t>Tier 2</t>
        </is>
      </c>
      <c r="D138" t="inlineStr">
        <is>
          <t>Setterwalls</t>
        </is>
      </c>
      <c r="E138" t="inlineStr">
        <is>
          <t>Setterwalls</t>
        </is>
      </c>
    </row>
    <row r="139">
      <c r="A139" t="inlineStr">
        <is>
          <t>Capital markets: equity</t>
        </is>
      </c>
      <c r="B139" t="inlineStr">
        <is>
          <t>Legal 500</t>
        </is>
      </c>
      <c r="C139" t="inlineStr">
        <is>
          <t>Tier 2</t>
        </is>
      </c>
      <c r="D139" t="inlineStr">
        <is>
          <t>Snellman</t>
        </is>
      </c>
      <c r="E139" t="inlineStr">
        <is>
          <t>Snellman</t>
        </is>
      </c>
    </row>
    <row r="140">
      <c r="A140" t="inlineStr">
        <is>
          <t>Capital markets: equity</t>
        </is>
      </c>
      <c r="B140" t="inlineStr">
        <is>
          <t>Legal 500</t>
        </is>
      </c>
      <c r="C140" t="inlineStr">
        <is>
          <t>Tier 3</t>
        </is>
      </c>
      <c r="D140" t="inlineStr">
        <is>
          <t>Cirio</t>
        </is>
      </c>
      <c r="E140" t="inlineStr">
        <is>
          <t>Cirio Advokatbyrå AB</t>
        </is>
      </c>
    </row>
    <row r="141">
      <c r="A141" t="inlineStr">
        <is>
          <t>Capital markets: equity</t>
        </is>
      </c>
      <c r="B141" t="inlineStr">
        <is>
          <t>Legal 500</t>
        </is>
      </c>
      <c r="C141" t="inlineStr">
        <is>
          <t>Tier 3</t>
        </is>
      </c>
      <c r="D141" t="inlineStr">
        <is>
          <t>Eversheds Sutherland</t>
        </is>
      </c>
      <c r="E141" t="inlineStr">
        <is>
          <t>Eversheds Sutherland</t>
        </is>
      </c>
    </row>
    <row r="142">
      <c r="A142" t="inlineStr">
        <is>
          <t>Capital markets: equity</t>
        </is>
      </c>
      <c r="B142" t="inlineStr">
        <is>
          <t>Legal 500</t>
        </is>
      </c>
      <c r="C142" t="inlineStr">
        <is>
          <t>Tier 3</t>
        </is>
      </c>
      <c r="D142" t="inlineStr">
        <is>
          <t>Lindahl</t>
        </is>
      </c>
      <c r="E142" t="inlineStr">
        <is>
          <t>Advokatfirman Lindahl KB</t>
        </is>
      </c>
    </row>
    <row r="143">
      <c r="A143" t="inlineStr">
        <is>
          <t>Capital markets: equity</t>
        </is>
      </c>
      <c r="B143" t="inlineStr">
        <is>
          <t>Legal 500</t>
        </is>
      </c>
      <c r="C143" t="inlineStr">
        <is>
          <t>Tier 4</t>
        </is>
      </c>
      <c r="D143" t="inlineStr">
        <is>
          <t>Bird &amp; Bird</t>
        </is>
      </c>
      <c r="E143" t="inlineStr">
        <is>
          <t>Bird &amp; Bird</t>
        </is>
      </c>
    </row>
    <row r="144">
      <c r="A144" t="inlineStr">
        <is>
          <t>Capital markets: equity</t>
        </is>
      </c>
      <c r="B144" t="inlineStr">
        <is>
          <t>Legal 500</t>
        </is>
      </c>
      <c r="C144" t="inlineStr">
        <is>
          <t>Tier 4</t>
        </is>
      </c>
      <c r="D144" t="inlineStr">
        <is>
          <t>Delphi</t>
        </is>
      </c>
      <c r="E144" t="inlineStr">
        <is>
          <t>Advokatfirman Delphi</t>
        </is>
      </c>
    </row>
    <row r="145">
      <c r="A145" t="inlineStr">
        <is>
          <t>Capital markets: equity</t>
        </is>
      </c>
      <c r="B145" t="inlineStr">
        <is>
          <t>Legal 500</t>
        </is>
      </c>
      <c r="C145" t="inlineStr">
        <is>
          <t>Tier 4</t>
        </is>
      </c>
      <c r="D145" t="inlineStr">
        <is>
          <t>DLA Piper</t>
        </is>
      </c>
      <c r="E145" t="inlineStr">
        <is>
          <t>DLA Piper Sweden</t>
        </is>
      </c>
    </row>
    <row r="146">
      <c r="A146" t="inlineStr">
        <is>
          <t>Capital markets: equity</t>
        </is>
      </c>
      <c r="B146" t="inlineStr">
        <is>
          <t>Legal 500</t>
        </is>
      </c>
      <c r="C146" t="inlineStr">
        <is>
          <t>Tier 4</t>
        </is>
      </c>
      <c r="D146" t="inlineStr">
        <is>
          <t>Hammarskiöld</t>
        </is>
      </c>
      <c r="E146" t="inlineStr">
        <is>
          <t>Hammarskiöld</t>
        </is>
      </c>
    </row>
    <row r="147">
      <c r="A147" t="inlineStr">
        <is>
          <t>Capital markets: equity</t>
        </is>
      </c>
      <c r="B147" t="inlineStr">
        <is>
          <t>Legal 500</t>
        </is>
      </c>
      <c r="C147" t="inlineStr">
        <is>
          <t>Tier 4</t>
        </is>
      </c>
      <c r="D147" t="inlineStr">
        <is>
          <t>MAQS</t>
        </is>
      </c>
      <c r="E147" t="inlineStr">
        <is>
          <t>MAQS Advokatbyrå</t>
        </is>
      </c>
    </row>
    <row r="148">
      <c r="A148" t="inlineStr">
        <is>
          <t>Capital markets: equity</t>
        </is>
      </c>
      <c r="B148" t="inlineStr">
        <is>
          <t>Legal 500</t>
        </is>
      </c>
      <c r="C148" t="inlineStr">
        <is>
          <t>Tier 4</t>
        </is>
      </c>
      <c r="D148" t="inlineStr">
        <is>
          <t>Schjødt</t>
        </is>
      </c>
      <c r="E148" t="inlineStr">
        <is>
          <t>Advokatfirman Schjødt</t>
        </is>
      </c>
    </row>
    <row r="149">
      <c r="A149" t="inlineStr">
        <is>
          <t>Capital markets: equity</t>
        </is>
      </c>
      <c r="B149" t="inlineStr">
        <is>
          <t>Legal 500</t>
        </is>
      </c>
      <c r="C149" t="inlineStr">
        <is>
          <t>Tier 4</t>
        </is>
      </c>
      <c r="D149" t="inlineStr">
        <is>
          <t>TM &amp; Partners</t>
        </is>
      </c>
      <c r="E149" t="inlineStr">
        <is>
          <t>TM &amp; Partners</t>
        </is>
      </c>
    </row>
    <row r="150">
      <c r="A150" t="inlineStr">
        <is>
          <t>Capital markets: equity</t>
        </is>
      </c>
      <c r="B150" t="inlineStr">
        <is>
          <t>Legal 500</t>
        </is>
      </c>
      <c r="C150" t="inlineStr">
        <is>
          <t>Tier 4</t>
        </is>
      </c>
      <c r="D150" t="inlineStr">
        <is>
          <t>Synch</t>
        </is>
      </c>
      <c r="E150" t="inlineStr">
        <is>
          <t>Synch Law AB</t>
        </is>
      </c>
    </row>
    <row r="151">
      <c r="A151" t="inlineStr">
        <is>
          <t>Capital markets: debt</t>
        </is>
      </c>
      <c r="B151" t="inlineStr">
        <is>
          <t>Chambers</t>
        </is>
      </c>
      <c r="C151" t="inlineStr">
        <is>
          <t>Band 1</t>
        </is>
      </c>
      <c r="D151" t="inlineStr">
        <is>
          <t>Gernandt &amp; Danielsson</t>
        </is>
      </c>
      <c r="E151" t="inlineStr">
        <is>
          <t>Gernandt &amp; Danielsson Advokatbyrå KB</t>
        </is>
      </c>
    </row>
    <row r="152">
      <c r="A152" t="inlineStr">
        <is>
          <t>Capital markets: debt</t>
        </is>
      </c>
      <c r="B152" t="inlineStr">
        <is>
          <t>Chambers</t>
        </is>
      </c>
      <c r="C152" t="inlineStr">
        <is>
          <t>Band 1</t>
        </is>
      </c>
      <c r="D152" t="inlineStr">
        <is>
          <t>Roschier</t>
        </is>
      </c>
      <c r="E152" t="inlineStr">
        <is>
          <t>Roschier</t>
        </is>
      </c>
    </row>
    <row r="153">
      <c r="A153" t="inlineStr">
        <is>
          <t>Capital markets: debt</t>
        </is>
      </c>
      <c r="B153" t="inlineStr">
        <is>
          <t>Chambers</t>
        </is>
      </c>
      <c r="C153" t="inlineStr">
        <is>
          <t>Band 2</t>
        </is>
      </c>
      <c r="D153" t="inlineStr">
        <is>
          <t>Vinge</t>
        </is>
      </c>
      <c r="E153" t="inlineStr">
        <is>
          <t>Advokatfirman Vinge KB</t>
        </is>
      </c>
    </row>
    <row r="154">
      <c r="A154" t="inlineStr">
        <is>
          <t>Capital markets: debt</t>
        </is>
      </c>
      <c r="B154" t="inlineStr">
        <is>
          <t>Chambers</t>
        </is>
      </c>
      <c r="C154" t="inlineStr">
        <is>
          <t>Band 2</t>
        </is>
      </c>
      <c r="D154" t="inlineStr">
        <is>
          <t>Mannheimer Swartling</t>
        </is>
      </c>
      <c r="E154" t="inlineStr">
        <is>
          <t>Mannheimer Swartling</t>
        </is>
      </c>
    </row>
    <row r="155">
      <c r="A155" t="inlineStr">
        <is>
          <t>Capital markets: debt</t>
        </is>
      </c>
      <c r="B155" t="inlineStr">
        <is>
          <t>Chambers</t>
        </is>
      </c>
      <c r="C155" t="inlineStr">
        <is>
          <t>Band 2</t>
        </is>
      </c>
      <c r="D155" t="inlineStr">
        <is>
          <t>White &amp; Case</t>
        </is>
      </c>
      <c r="E155" t="inlineStr">
        <is>
          <t>White &amp; Case Advokat AB</t>
        </is>
      </c>
    </row>
    <row r="156">
      <c r="A156" t="inlineStr">
        <is>
          <t>Capital markets: debt</t>
        </is>
      </c>
      <c r="B156" t="inlineStr">
        <is>
          <t>Chambers</t>
        </is>
      </c>
      <c r="C156" t="inlineStr">
        <is>
          <t>Band 3</t>
        </is>
      </c>
      <c r="D156" t="inlineStr">
        <is>
          <t>Cederquist</t>
        </is>
      </c>
      <c r="E156" t="inlineStr">
        <is>
          <t>Advokatfirman Cederquist KB</t>
        </is>
      </c>
    </row>
    <row r="157">
      <c r="A157" t="inlineStr">
        <is>
          <t>Capital markets: debt</t>
        </is>
      </c>
      <c r="B157" t="inlineStr">
        <is>
          <t>Legal 500</t>
        </is>
      </c>
      <c r="C157" t="inlineStr">
        <is>
          <t>Tier 1</t>
        </is>
      </c>
      <c r="D157" t="inlineStr">
        <is>
          <t>Cederquist</t>
        </is>
      </c>
      <c r="E157" t="inlineStr">
        <is>
          <t>Advokatfirman Cederquist KB</t>
        </is>
      </c>
    </row>
    <row r="158">
      <c r="A158" t="inlineStr">
        <is>
          <t>Capital markets: debt</t>
        </is>
      </c>
      <c r="B158" t="inlineStr">
        <is>
          <t>Legal 500</t>
        </is>
      </c>
      <c r="C158" t="inlineStr">
        <is>
          <t>Tier 1</t>
        </is>
      </c>
      <c r="D158" t="inlineStr">
        <is>
          <t>Gernandt &amp; Danielsson</t>
        </is>
      </c>
      <c r="E158" t="inlineStr">
        <is>
          <t>Gernandt &amp; Danielsson Advokatbyrå</t>
        </is>
      </c>
    </row>
    <row r="159">
      <c r="A159" t="inlineStr">
        <is>
          <t>Capital markets: debt</t>
        </is>
      </c>
      <c r="B159" t="inlineStr">
        <is>
          <t>Legal 500</t>
        </is>
      </c>
      <c r="C159" t="inlineStr">
        <is>
          <t>Tier 1</t>
        </is>
      </c>
      <c r="D159" t="inlineStr">
        <is>
          <t>Mannheimer Swartling</t>
        </is>
      </c>
      <c r="E159" t="inlineStr">
        <is>
          <t>Mannheimer Swartling</t>
        </is>
      </c>
    </row>
    <row r="160">
      <c r="A160" t="inlineStr">
        <is>
          <t>Capital markets: debt</t>
        </is>
      </c>
      <c r="B160" t="inlineStr">
        <is>
          <t>Legal 500</t>
        </is>
      </c>
      <c r="C160" t="inlineStr">
        <is>
          <t>Tier 1</t>
        </is>
      </c>
      <c r="D160" t="inlineStr">
        <is>
          <t>Roschier</t>
        </is>
      </c>
      <c r="E160" t="inlineStr">
        <is>
          <t>Roschier</t>
        </is>
      </c>
    </row>
    <row r="161">
      <c r="A161" t="inlineStr">
        <is>
          <t>Capital markets: debt</t>
        </is>
      </c>
      <c r="B161" t="inlineStr">
        <is>
          <t>Legal 500</t>
        </is>
      </c>
      <c r="C161" t="inlineStr">
        <is>
          <t>Tier 1</t>
        </is>
      </c>
      <c r="D161" t="inlineStr">
        <is>
          <t>Vinge</t>
        </is>
      </c>
      <c r="E161" t="inlineStr">
        <is>
          <t>Advokatfirman Vinge KB</t>
        </is>
      </c>
    </row>
    <row r="162">
      <c r="A162" t="inlineStr">
        <is>
          <t>Capital markets: debt</t>
        </is>
      </c>
      <c r="B162" t="inlineStr">
        <is>
          <t>Legal 500</t>
        </is>
      </c>
      <c r="C162" t="inlineStr">
        <is>
          <t>Tier 2</t>
        </is>
      </c>
      <c r="D162" t="inlineStr">
        <is>
          <t>Setterwalls</t>
        </is>
      </c>
      <c r="E162" t="inlineStr">
        <is>
          <t>Setterwalls</t>
        </is>
      </c>
    </row>
    <row r="163">
      <c r="A163" t="inlineStr">
        <is>
          <t>Capital markets: debt</t>
        </is>
      </c>
      <c r="B163" t="inlineStr">
        <is>
          <t>Legal 500</t>
        </is>
      </c>
      <c r="C163" t="inlineStr">
        <is>
          <t>Tier 2</t>
        </is>
      </c>
      <c r="D163" t="inlineStr">
        <is>
          <t>Snellman</t>
        </is>
      </c>
      <c r="E163" t="inlineStr">
        <is>
          <t>Snellman</t>
        </is>
      </c>
    </row>
    <row r="164">
      <c r="A164" t="inlineStr">
        <is>
          <t>Capital markets: debt</t>
        </is>
      </c>
      <c r="B164" t="inlineStr">
        <is>
          <t>Legal 500</t>
        </is>
      </c>
      <c r="C164" t="inlineStr">
        <is>
          <t>Tier 2</t>
        </is>
      </c>
      <c r="D164" t="inlineStr">
        <is>
          <t>White &amp; Case</t>
        </is>
      </c>
      <c r="E164" t="inlineStr">
        <is>
          <t>White &amp; Case Advokat AB</t>
        </is>
      </c>
    </row>
    <row r="165">
      <c r="A165" t="inlineStr">
        <is>
          <t>Capital markets: debt</t>
        </is>
      </c>
      <c r="B165" t="inlineStr">
        <is>
          <t>Legal 500</t>
        </is>
      </c>
      <c r="C165" t="inlineStr">
        <is>
          <t>Tier 3</t>
        </is>
      </c>
      <c r="D165" t="inlineStr">
        <is>
          <t>Cirio</t>
        </is>
      </c>
      <c r="E165" t="inlineStr">
        <is>
          <t>Cirio Advokatbyrå AB</t>
        </is>
      </c>
    </row>
    <row r="166">
      <c r="A166" t="inlineStr">
        <is>
          <t>Capital markets: debt</t>
        </is>
      </c>
      <c r="B166" t="inlineStr">
        <is>
          <t>Legal 500</t>
        </is>
      </c>
      <c r="C166" t="inlineStr">
        <is>
          <t>Tier 3</t>
        </is>
      </c>
      <c r="D166" t="inlineStr">
        <is>
          <t>Hammarskiöld</t>
        </is>
      </c>
      <c r="E166" t="inlineStr">
        <is>
          <t>Hammarskiöld</t>
        </is>
      </c>
    </row>
    <row r="167">
      <c r="A167" t="inlineStr">
        <is>
          <t>Capital markets: debt</t>
        </is>
      </c>
      <c r="B167" t="inlineStr">
        <is>
          <t>Legal 500</t>
        </is>
      </c>
      <c r="C167" t="inlineStr">
        <is>
          <t>Tier 3</t>
        </is>
      </c>
      <c r="D167" t="inlineStr">
        <is>
          <t>Linklaters</t>
        </is>
      </c>
      <c r="E167" t="inlineStr">
        <is>
          <t>Linklaters</t>
        </is>
      </c>
    </row>
    <row r="168">
      <c r="A168" t="inlineStr">
        <is>
          <t>Capital markets: debt</t>
        </is>
      </c>
      <c r="B168" t="inlineStr">
        <is>
          <t>Legal 500</t>
        </is>
      </c>
      <c r="C168" t="inlineStr">
        <is>
          <t>Firms to watch</t>
        </is>
      </c>
      <c r="D168" t="inlineStr">
        <is>
          <t>BAHR</t>
        </is>
      </c>
      <c r="E168" t="inlineStr">
        <is>
          <t>BAHR</t>
        </is>
      </c>
    </row>
    <row r="169">
      <c r="A169" t="inlineStr">
        <is>
          <t>Dispute resolution</t>
        </is>
      </c>
      <c r="B169" t="inlineStr">
        <is>
          <t>Chambers</t>
        </is>
      </c>
      <c r="C169" t="inlineStr">
        <is>
          <t>Band 1</t>
        </is>
      </c>
      <c r="D169" t="inlineStr">
        <is>
          <t>Vinge</t>
        </is>
      </c>
      <c r="E169" t="inlineStr">
        <is>
          <t>Advokatfirman Vinge KB</t>
        </is>
      </c>
    </row>
    <row r="170">
      <c r="A170" t="inlineStr">
        <is>
          <t>Dispute resolution</t>
        </is>
      </c>
      <c r="B170" t="inlineStr">
        <is>
          <t>Chambers</t>
        </is>
      </c>
      <c r="C170" t="inlineStr">
        <is>
          <t>Band 1</t>
        </is>
      </c>
      <c r="D170" t="inlineStr">
        <is>
          <t>Mannheimer Swartling</t>
        </is>
      </c>
      <c r="E170" t="inlineStr">
        <is>
          <t>Mannheimer Swartling</t>
        </is>
      </c>
    </row>
    <row r="171">
      <c r="A171" t="inlineStr">
        <is>
          <t>Dispute resolution</t>
        </is>
      </c>
      <c r="B171" t="inlineStr">
        <is>
          <t>Chambers</t>
        </is>
      </c>
      <c r="C171" t="inlineStr">
        <is>
          <t>Band 2</t>
        </is>
      </c>
      <c r="D171" t="inlineStr">
        <is>
          <t>Cederquist</t>
        </is>
      </c>
      <c r="E171" t="inlineStr">
        <is>
          <t>Advokatfirman Cederquist KB</t>
        </is>
      </c>
    </row>
    <row r="172">
      <c r="A172" t="inlineStr">
        <is>
          <t>Dispute resolution</t>
        </is>
      </c>
      <c r="B172" t="inlineStr">
        <is>
          <t>Chambers</t>
        </is>
      </c>
      <c r="C172" t="inlineStr">
        <is>
          <t>Band 2</t>
        </is>
      </c>
      <c r="D172" t="inlineStr">
        <is>
          <t>Gernandt &amp; Danielsson</t>
        </is>
      </c>
      <c r="E172" t="inlineStr">
        <is>
          <t>Gernandt &amp; Danielsson Advokatbyrå KB</t>
        </is>
      </c>
    </row>
    <row r="173">
      <c r="A173" t="inlineStr">
        <is>
          <t>Dispute resolution</t>
        </is>
      </c>
      <c r="B173" t="inlineStr">
        <is>
          <t>Chambers</t>
        </is>
      </c>
      <c r="C173" t="inlineStr">
        <is>
          <t>Band 2</t>
        </is>
      </c>
      <c r="D173" t="inlineStr">
        <is>
          <t>Roschier</t>
        </is>
      </c>
      <c r="E173" t="inlineStr">
        <is>
          <t>Roschier</t>
        </is>
      </c>
    </row>
    <row r="174">
      <c r="A174" t="inlineStr">
        <is>
          <t>Dispute resolution</t>
        </is>
      </c>
      <c r="B174" t="inlineStr">
        <is>
          <t>Chambers</t>
        </is>
      </c>
      <c r="C174" t="inlineStr">
        <is>
          <t>Band 2</t>
        </is>
      </c>
      <c r="D174" t="inlineStr">
        <is>
          <t>Setterwalls</t>
        </is>
      </c>
      <c r="E174" t="inlineStr">
        <is>
          <t>Setterwalls</t>
        </is>
      </c>
    </row>
    <row r="175">
      <c r="A175" t="inlineStr">
        <is>
          <t>Dispute resolution</t>
        </is>
      </c>
      <c r="B175" t="inlineStr">
        <is>
          <t>Chambers</t>
        </is>
      </c>
      <c r="C175" t="inlineStr">
        <is>
          <t>Band 2</t>
        </is>
      </c>
      <c r="D175" t="inlineStr">
        <is>
          <t>Westerberg &amp; Partners</t>
        </is>
      </c>
      <c r="E175" t="inlineStr">
        <is>
          <t>Westerberg &amp; Partners</t>
        </is>
      </c>
    </row>
    <row r="176">
      <c r="A176" t="inlineStr">
        <is>
          <t>Dispute resolution</t>
        </is>
      </c>
      <c r="B176" t="inlineStr">
        <is>
          <t>Chambers</t>
        </is>
      </c>
      <c r="C176" t="inlineStr">
        <is>
          <t>Band 2</t>
        </is>
      </c>
      <c r="D176" t="inlineStr">
        <is>
          <t>White &amp; Case</t>
        </is>
      </c>
      <c r="E176" t="inlineStr">
        <is>
          <t>White &amp; Case Advokat AB</t>
        </is>
      </c>
    </row>
    <row r="177">
      <c r="A177" t="inlineStr">
        <is>
          <t>Dispute resolution</t>
        </is>
      </c>
      <c r="B177" t="inlineStr">
        <is>
          <t>Chambers</t>
        </is>
      </c>
      <c r="C177" t="inlineStr">
        <is>
          <t>Band 3</t>
        </is>
      </c>
      <c r="D177" t="inlineStr">
        <is>
          <t>CMS Wistrand</t>
        </is>
      </c>
      <c r="E177" t="inlineStr">
        <is>
          <t>CMS Wistrand</t>
        </is>
      </c>
    </row>
    <row r="178">
      <c r="A178" t="inlineStr">
        <is>
          <t>Dispute resolution</t>
        </is>
      </c>
      <c r="B178" t="inlineStr">
        <is>
          <t>Chambers</t>
        </is>
      </c>
      <c r="C178" t="inlineStr">
        <is>
          <t>Band 3</t>
        </is>
      </c>
      <c r="D178" t="inlineStr">
        <is>
          <t>Delphi</t>
        </is>
      </c>
      <c r="E178" t="inlineStr">
        <is>
          <t>Delphi</t>
        </is>
      </c>
    </row>
    <row r="179">
      <c r="A179" t="inlineStr">
        <is>
          <t>Dispute resolution</t>
        </is>
      </c>
      <c r="B179" t="inlineStr">
        <is>
          <t>Chambers</t>
        </is>
      </c>
      <c r="C179" t="inlineStr">
        <is>
          <t>Band 3</t>
        </is>
      </c>
      <c r="D179" t="inlineStr">
        <is>
          <t>Kastell</t>
        </is>
      </c>
      <c r="E179" t="inlineStr">
        <is>
          <t>Kastell Advokatbyrå</t>
        </is>
      </c>
    </row>
    <row r="180">
      <c r="A180" t="inlineStr">
        <is>
          <t>Dispute resolution</t>
        </is>
      </c>
      <c r="B180" t="inlineStr">
        <is>
          <t>Chambers</t>
        </is>
      </c>
      <c r="C180" t="inlineStr">
        <is>
          <t>Band 3</t>
        </is>
      </c>
      <c r="D180" t="inlineStr">
        <is>
          <t>Norburg &amp; Scherp</t>
        </is>
      </c>
      <c r="E180" t="inlineStr">
        <is>
          <t>Norburg &amp; Scherp Advokatbyrå</t>
        </is>
      </c>
    </row>
    <row r="181">
      <c r="A181" t="inlineStr">
        <is>
          <t>Dispute resolution</t>
        </is>
      </c>
      <c r="B181" t="inlineStr">
        <is>
          <t>Chambers</t>
        </is>
      </c>
      <c r="C181" t="inlineStr">
        <is>
          <t>Band 3</t>
        </is>
      </c>
      <c r="D181" t="inlineStr">
        <is>
          <t>Snellman</t>
        </is>
      </c>
      <c r="E181" t="inlineStr">
        <is>
          <t>Snellman Advokatbyrå AB</t>
        </is>
      </c>
    </row>
    <row r="182">
      <c r="A182" t="inlineStr">
        <is>
          <t>Dispute resolution</t>
        </is>
      </c>
      <c r="B182" t="inlineStr">
        <is>
          <t>Chambers</t>
        </is>
      </c>
      <c r="C182" t="inlineStr">
        <is>
          <t>Band 3</t>
        </is>
      </c>
      <c r="D182" t="inlineStr">
        <is>
          <t>Wallin &amp; Partners</t>
        </is>
      </c>
      <c r="E182" t="inlineStr">
        <is>
          <t>Wallin &amp; Partners</t>
        </is>
      </c>
    </row>
    <row r="183">
      <c r="A183" t="inlineStr">
        <is>
          <t>Dispute resolution</t>
        </is>
      </c>
      <c r="B183" t="inlineStr">
        <is>
          <t>Chambers</t>
        </is>
      </c>
      <c r="C183" t="inlineStr">
        <is>
          <t>Band 4</t>
        </is>
      </c>
      <c r="D183" t="inlineStr">
        <is>
          <t>A1 Advokater</t>
        </is>
      </c>
      <c r="E183" t="inlineStr">
        <is>
          <t>A1 Advokater</t>
        </is>
      </c>
    </row>
    <row r="184">
      <c r="A184" t="inlineStr">
        <is>
          <t>Dispute resolution</t>
        </is>
      </c>
      <c r="B184" t="inlineStr">
        <is>
          <t>Chambers</t>
        </is>
      </c>
      <c r="C184" t="inlineStr">
        <is>
          <t>Band 4</t>
        </is>
      </c>
      <c r="D184" t="inlineStr">
        <is>
          <t>Schjødt</t>
        </is>
      </c>
      <c r="E184" t="inlineStr">
        <is>
          <t>Advokatfirman Schjødt</t>
        </is>
      </c>
    </row>
    <row r="185">
      <c r="A185" t="inlineStr">
        <is>
          <t>Dispute resolution</t>
        </is>
      </c>
      <c r="B185" t="inlineStr">
        <is>
          <t>Chambers</t>
        </is>
      </c>
      <c r="C185" t="inlineStr">
        <is>
          <t>Band 4</t>
        </is>
      </c>
      <c r="D185" t="inlineStr">
        <is>
          <t>TIME DANOWSKY Advokatbyrå AB</t>
        </is>
      </c>
      <c r="E185" t="inlineStr">
        <is>
          <t>TIME DANOWSKY Advokatbyrå AB</t>
        </is>
      </c>
    </row>
    <row r="186">
      <c r="A186" t="inlineStr">
        <is>
          <t>Dispute resolution</t>
        </is>
      </c>
      <c r="B186" t="inlineStr">
        <is>
          <t>Chambers</t>
        </is>
      </c>
      <c r="C186" t="inlineStr">
        <is>
          <t>Band 5</t>
        </is>
      </c>
      <c r="D186" t="inlineStr">
        <is>
          <t>Hammarskiöld</t>
        </is>
      </c>
      <c r="E186" t="inlineStr">
        <is>
          <t>Advokatfirman Hammarskiöld &amp; Co AB</t>
        </is>
      </c>
    </row>
    <row r="187">
      <c r="A187" t="inlineStr">
        <is>
          <t>Dispute resolution</t>
        </is>
      </c>
      <c r="B187" t="inlineStr">
        <is>
          <t>Chambers</t>
        </is>
      </c>
      <c r="C187" t="inlineStr">
        <is>
          <t>Band 5</t>
        </is>
      </c>
      <c r="D187" t="inlineStr">
        <is>
          <t>Lindahl</t>
        </is>
      </c>
      <c r="E187" t="inlineStr">
        <is>
          <t>Advokatfirman Lindahl</t>
        </is>
      </c>
    </row>
    <row r="188">
      <c r="A188" t="inlineStr">
        <is>
          <t>Dispute resolution</t>
        </is>
      </c>
      <c r="B188" t="inlineStr">
        <is>
          <t>Chambers</t>
        </is>
      </c>
      <c r="C188" t="inlineStr">
        <is>
          <t>Band 5</t>
        </is>
      </c>
      <c r="D188" t="inlineStr">
        <is>
          <t>BAHR</t>
        </is>
      </c>
      <c r="E188" t="inlineStr">
        <is>
          <t>BAHR</t>
        </is>
      </c>
    </row>
    <row r="189">
      <c r="A189" t="inlineStr">
        <is>
          <t>Dispute resolution</t>
        </is>
      </c>
      <c r="B189" t="inlineStr">
        <is>
          <t>Chambers</t>
        </is>
      </c>
      <c r="C189" t="inlineStr">
        <is>
          <t>Band 5</t>
        </is>
      </c>
      <c r="D189" t="inlineStr">
        <is>
          <t>Cirio</t>
        </is>
      </c>
      <c r="E189" t="inlineStr">
        <is>
          <t>Cirio Advokatbyrå AB</t>
        </is>
      </c>
    </row>
    <row r="190">
      <c r="A190" t="inlineStr">
        <is>
          <t>Dispute resolution</t>
        </is>
      </c>
      <c r="B190" t="inlineStr">
        <is>
          <t>Chambers</t>
        </is>
      </c>
      <c r="C190" t="inlineStr">
        <is>
          <t>Band 5</t>
        </is>
      </c>
      <c r="D190" t="inlineStr">
        <is>
          <t>DLA Piper</t>
        </is>
      </c>
      <c r="E190" t="inlineStr">
        <is>
          <t>DLA Piper</t>
        </is>
      </c>
    </row>
    <row r="191">
      <c r="A191" t="inlineStr">
        <is>
          <t>Dispute resolution</t>
        </is>
      </c>
      <c r="B191" t="inlineStr">
        <is>
          <t>Chambers</t>
        </is>
      </c>
      <c r="C191" t="inlineStr">
        <is>
          <t>Band 5</t>
        </is>
      </c>
      <c r="D191" t="inlineStr">
        <is>
          <t>Magnusson</t>
        </is>
      </c>
      <c r="E191" t="inlineStr">
        <is>
          <t>Magnusson</t>
        </is>
      </c>
    </row>
    <row r="192">
      <c r="A192" t="inlineStr">
        <is>
          <t>Dispute resolution</t>
        </is>
      </c>
      <c r="B192" t="inlineStr">
        <is>
          <t>Chambers</t>
        </is>
      </c>
      <c r="C192" t="inlineStr">
        <is>
          <t>Band 5</t>
        </is>
      </c>
      <c r="D192" t="inlineStr">
        <is>
          <t>Morris Law</t>
        </is>
      </c>
      <c r="E192" t="inlineStr">
        <is>
          <t>Morris Law AB</t>
        </is>
      </c>
    </row>
    <row r="193">
      <c r="A193" t="inlineStr">
        <is>
          <t>Dispute resolution</t>
        </is>
      </c>
      <c r="B193" t="inlineStr">
        <is>
          <t>Chambers</t>
        </is>
      </c>
      <c r="C193" t="inlineStr">
        <is>
          <t>Band 5</t>
        </is>
      </c>
      <c r="D193" t="inlineStr">
        <is>
          <t>Sandart &amp; Partners</t>
        </is>
      </c>
      <c r="E193" t="inlineStr">
        <is>
          <t>Sandart &amp; Partners</t>
        </is>
      </c>
    </row>
    <row r="194">
      <c r="A194" t="inlineStr">
        <is>
          <t>Dispute resolution</t>
        </is>
      </c>
      <c r="B194" t="inlineStr">
        <is>
          <t>Legal 500</t>
        </is>
      </c>
      <c r="C194" t="inlineStr">
        <is>
          <t>Tier 1</t>
        </is>
      </c>
      <c r="D194" t="inlineStr">
        <is>
          <t>Mannheimer Swartling</t>
        </is>
      </c>
      <c r="E194" t="inlineStr">
        <is>
          <t>Mannheimer Swartling</t>
        </is>
      </c>
    </row>
    <row r="195">
      <c r="A195" t="inlineStr">
        <is>
          <t>Dispute resolution</t>
        </is>
      </c>
      <c r="B195" t="inlineStr">
        <is>
          <t>Legal 500</t>
        </is>
      </c>
      <c r="C195" t="inlineStr">
        <is>
          <t>Tier 1</t>
        </is>
      </c>
      <c r="D195" t="inlineStr">
        <is>
          <t>Vinge</t>
        </is>
      </c>
      <c r="E195" t="inlineStr">
        <is>
          <t>Advokatfirman Vinge KB</t>
        </is>
      </c>
    </row>
    <row r="196">
      <c r="A196" t="inlineStr">
        <is>
          <t>Dispute resolution</t>
        </is>
      </c>
      <c r="B196" t="inlineStr">
        <is>
          <t>Legal 500</t>
        </is>
      </c>
      <c r="C196" t="inlineStr">
        <is>
          <t>Tier 2</t>
        </is>
      </c>
      <c r="D196" t="inlineStr">
        <is>
          <t>Cederquist</t>
        </is>
      </c>
      <c r="E196" t="inlineStr">
        <is>
          <t>Advokatfirman Cederquist KB</t>
        </is>
      </c>
    </row>
    <row r="197">
      <c r="A197" t="inlineStr">
        <is>
          <t>Dispute resolution</t>
        </is>
      </c>
      <c r="B197" t="inlineStr">
        <is>
          <t>Legal 500</t>
        </is>
      </c>
      <c r="C197" t="inlineStr">
        <is>
          <t>Tier 2</t>
        </is>
      </c>
      <c r="D197" t="inlineStr">
        <is>
          <t>Delphi</t>
        </is>
      </c>
      <c r="E197" t="inlineStr">
        <is>
          <t>Advokatfirman Delphi</t>
        </is>
      </c>
    </row>
    <row r="198">
      <c r="A198" t="inlineStr">
        <is>
          <t>Dispute resolution</t>
        </is>
      </c>
      <c r="B198" t="inlineStr">
        <is>
          <t>Legal 500</t>
        </is>
      </c>
      <c r="C198" t="inlineStr">
        <is>
          <t>Tier 2</t>
        </is>
      </c>
      <c r="D198" t="inlineStr">
        <is>
          <t>Gernandt &amp; Danielsson</t>
        </is>
      </c>
      <c r="E198" t="inlineStr">
        <is>
          <t>Gernandt &amp; Danielsson Advokatbyrå</t>
        </is>
      </c>
    </row>
    <row r="199">
      <c r="A199" t="inlineStr">
        <is>
          <t>Dispute resolution</t>
        </is>
      </c>
      <c r="B199" t="inlineStr">
        <is>
          <t>Legal 500</t>
        </is>
      </c>
      <c r="C199" t="inlineStr">
        <is>
          <t>Tier 2</t>
        </is>
      </c>
      <c r="D199" t="inlineStr">
        <is>
          <t>Roschier</t>
        </is>
      </c>
      <c r="E199" t="inlineStr">
        <is>
          <t>Roschier</t>
        </is>
      </c>
    </row>
    <row r="200">
      <c r="A200" t="inlineStr">
        <is>
          <t>Dispute resolution</t>
        </is>
      </c>
      <c r="B200" t="inlineStr">
        <is>
          <t>Legal 500</t>
        </is>
      </c>
      <c r="C200" t="inlineStr">
        <is>
          <t>Tier 2</t>
        </is>
      </c>
      <c r="D200" t="inlineStr">
        <is>
          <t>Setterwalls</t>
        </is>
      </c>
      <c r="E200" t="inlineStr">
        <is>
          <t>Setterwalls</t>
        </is>
      </c>
    </row>
    <row r="201">
      <c r="A201" t="inlineStr">
        <is>
          <t>Dispute resolution</t>
        </is>
      </c>
      <c r="B201" t="inlineStr">
        <is>
          <t>Legal 500</t>
        </is>
      </c>
      <c r="C201" t="inlineStr">
        <is>
          <t>Tier 2</t>
        </is>
      </c>
      <c r="D201" t="inlineStr">
        <is>
          <t>Westerberg &amp; Partners</t>
        </is>
      </c>
      <c r="E201" t="inlineStr">
        <is>
          <t>Westerberg &amp; Partners</t>
        </is>
      </c>
    </row>
    <row r="202">
      <c r="A202" t="inlineStr">
        <is>
          <t>Dispute resolution</t>
        </is>
      </c>
      <c r="B202" t="inlineStr">
        <is>
          <t>Legal 500</t>
        </is>
      </c>
      <c r="C202" t="inlineStr">
        <is>
          <t>Tier 3</t>
        </is>
      </c>
      <c r="D202" t="inlineStr">
        <is>
          <t>CMS Wistrand</t>
        </is>
      </c>
      <c r="E202" t="inlineStr">
        <is>
          <t>CMS Wistrand</t>
        </is>
      </c>
    </row>
    <row r="203">
      <c r="A203" t="inlineStr">
        <is>
          <t>Dispute resolution</t>
        </is>
      </c>
      <c r="B203" t="inlineStr">
        <is>
          <t>Legal 500</t>
        </is>
      </c>
      <c r="C203" t="inlineStr">
        <is>
          <t>Tier 3</t>
        </is>
      </c>
      <c r="D203" t="inlineStr">
        <is>
          <t>DLA Piper</t>
        </is>
      </c>
      <c r="E203" t="inlineStr">
        <is>
          <t>DLA Piper Sweden</t>
        </is>
      </c>
    </row>
    <row r="204">
      <c r="A204" t="inlineStr">
        <is>
          <t>Dispute resolution</t>
        </is>
      </c>
      <c r="B204" t="inlineStr">
        <is>
          <t>Legal 500</t>
        </is>
      </c>
      <c r="C204" t="inlineStr">
        <is>
          <t>Tier 3</t>
        </is>
      </c>
      <c r="D204" t="inlineStr">
        <is>
          <t>Hammarskiöld</t>
        </is>
      </c>
      <c r="E204" t="inlineStr">
        <is>
          <t>Hammarskiöld</t>
        </is>
      </c>
    </row>
    <row r="205">
      <c r="A205" t="inlineStr">
        <is>
          <t>Dispute resolution</t>
        </is>
      </c>
      <c r="B205" t="inlineStr">
        <is>
          <t>Legal 500</t>
        </is>
      </c>
      <c r="C205" t="inlineStr">
        <is>
          <t>Tier 3</t>
        </is>
      </c>
      <c r="D205" t="inlineStr">
        <is>
          <t>Norburg &amp; Scherp</t>
        </is>
      </c>
      <c r="E205" t="inlineStr">
        <is>
          <t>Norburg &amp; Scherp</t>
        </is>
      </c>
    </row>
    <row r="206">
      <c r="A206" t="inlineStr">
        <is>
          <t>Dispute resolution</t>
        </is>
      </c>
      <c r="B206" t="inlineStr">
        <is>
          <t>Legal 500</t>
        </is>
      </c>
      <c r="C206" t="inlineStr">
        <is>
          <t>Tier 3</t>
        </is>
      </c>
      <c r="D206" t="inlineStr">
        <is>
          <t>Snellman</t>
        </is>
      </c>
      <c r="E206" t="inlineStr">
        <is>
          <t>Snellman</t>
        </is>
      </c>
    </row>
    <row r="207">
      <c r="A207" t="inlineStr">
        <is>
          <t>Dispute resolution</t>
        </is>
      </c>
      <c r="B207" t="inlineStr">
        <is>
          <t>Legal 500</t>
        </is>
      </c>
      <c r="C207" t="inlineStr">
        <is>
          <t>Tier 3</t>
        </is>
      </c>
      <c r="D207" t="inlineStr">
        <is>
          <t>TIME DANOWSKY Advokatbyrå AB</t>
        </is>
      </c>
      <c r="E207" t="inlineStr">
        <is>
          <t>TIME DANOWSKY Advokatbyrå AB</t>
        </is>
      </c>
    </row>
    <row r="208">
      <c r="A208" t="inlineStr">
        <is>
          <t>Dispute resolution</t>
        </is>
      </c>
      <c r="B208" t="inlineStr">
        <is>
          <t>Legal 500</t>
        </is>
      </c>
      <c r="C208" t="inlineStr">
        <is>
          <t>Tier 3</t>
        </is>
      </c>
      <c r="D208" t="inlineStr">
        <is>
          <t>Wallin &amp; Partners</t>
        </is>
      </c>
      <c r="E208" t="inlineStr">
        <is>
          <t>Advokatbyrån Wallin &amp; Partners AB</t>
        </is>
      </c>
    </row>
    <row r="209">
      <c r="A209" t="inlineStr">
        <is>
          <t>Dispute resolution</t>
        </is>
      </c>
      <c r="B209" t="inlineStr">
        <is>
          <t>Legal 500</t>
        </is>
      </c>
      <c r="C209" t="inlineStr">
        <is>
          <t>Tier 3</t>
        </is>
      </c>
      <c r="D209" t="inlineStr">
        <is>
          <t>White &amp; Case</t>
        </is>
      </c>
      <c r="E209" t="inlineStr">
        <is>
          <t>White &amp; Case Advokat AB</t>
        </is>
      </c>
    </row>
    <row r="210">
      <c r="A210" t="inlineStr">
        <is>
          <t>Dispute resolution</t>
        </is>
      </c>
      <c r="B210" t="inlineStr">
        <is>
          <t>Legal 500</t>
        </is>
      </c>
      <c r="C210" t="inlineStr">
        <is>
          <t>Tier 4</t>
        </is>
      </c>
      <c r="D210" t="inlineStr">
        <is>
          <t>Baker McKenzie</t>
        </is>
      </c>
      <c r="E210" t="inlineStr">
        <is>
          <t>Baker McKenzie</t>
        </is>
      </c>
    </row>
    <row r="211">
      <c r="A211" t="inlineStr">
        <is>
          <t>Dispute resolution</t>
        </is>
      </c>
      <c r="B211" t="inlineStr">
        <is>
          <t>Legal 500</t>
        </is>
      </c>
      <c r="C211" t="inlineStr">
        <is>
          <t>Tier 4</t>
        </is>
      </c>
      <c r="D211" t="inlineStr">
        <is>
          <t>Eversheds Sutherland</t>
        </is>
      </c>
      <c r="E211" t="inlineStr">
        <is>
          <t>Eversheds Sutherland</t>
        </is>
      </c>
    </row>
    <row r="212">
      <c r="A212" t="inlineStr">
        <is>
          <t>Dispute resolution</t>
        </is>
      </c>
      <c r="B212" t="inlineStr">
        <is>
          <t>Legal 500</t>
        </is>
      </c>
      <c r="C212" t="inlineStr">
        <is>
          <t>Tier 4</t>
        </is>
      </c>
      <c r="D212" t="inlineStr">
        <is>
          <t>Foyen</t>
        </is>
      </c>
      <c r="E212" t="inlineStr">
        <is>
          <t>Foyen Advokatfirma</t>
        </is>
      </c>
    </row>
    <row r="213">
      <c r="A213" t="inlineStr">
        <is>
          <t>Dispute resolution</t>
        </is>
      </c>
      <c r="B213" t="inlineStr">
        <is>
          <t>Legal 500</t>
        </is>
      </c>
      <c r="C213" t="inlineStr">
        <is>
          <t>Tier 4</t>
        </is>
      </c>
      <c r="D213" t="inlineStr">
        <is>
          <t>Kilpatrick Townsend &amp; Stockton Advokat KB</t>
        </is>
      </c>
      <c r="E213" t="inlineStr">
        <is>
          <t>Kilpatrick Townsend &amp; Stockton Advokat KB</t>
        </is>
      </c>
    </row>
    <row r="214">
      <c r="A214" t="inlineStr">
        <is>
          <t>Dispute resolution</t>
        </is>
      </c>
      <c r="B214" t="inlineStr">
        <is>
          <t>Legal 500</t>
        </is>
      </c>
      <c r="C214" t="inlineStr">
        <is>
          <t>Tier 4</t>
        </is>
      </c>
      <c r="D214" t="inlineStr">
        <is>
          <t>Morris Law</t>
        </is>
      </c>
      <c r="E214" t="inlineStr">
        <is>
          <t>Morris Law</t>
        </is>
      </c>
    </row>
    <row r="215">
      <c r="A215" t="inlineStr">
        <is>
          <t>Dispute resolution</t>
        </is>
      </c>
      <c r="B215" t="inlineStr">
        <is>
          <t>Legal 500</t>
        </is>
      </c>
      <c r="C215" t="inlineStr">
        <is>
          <t>Tier 4</t>
        </is>
      </c>
      <c r="D215" t="inlineStr">
        <is>
          <t>Nordia Law</t>
        </is>
      </c>
      <c r="E215" t="inlineStr">
        <is>
          <t>NORDIA Law</t>
        </is>
      </c>
    </row>
    <row r="216">
      <c r="A216" t="inlineStr">
        <is>
          <t>Dispute resolution</t>
        </is>
      </c>
      <c r="B216" t="inlineStr">
        <is>
          <t>Legal 500</t>
        </is>
      </c>
      <c r="C216" t="inlineStr">
        <is>
          <t>Tier 4</t>
        </is>
      </c>
      <c r="D216" t="inlineStr">
        <is>
          <t>Sandart &amp; Partners</t>
        </is>
      </c>
      <c r="E216" t="inlineStr">
        <is>
          <t>Sandart&amp;Partners Advokatbyrå KB</t>
        </is>
      </c>
    </row>
    <row r="217">
      <c r="A217" t="inlineStr">
        <is>
          <t>Dispute resolution</t>
        </is>
      </c>
      <c r="B217" t="inlineStr">
        <is>
          <t>Legal 500</t>
        </is>
      </c>
      <c r="C217" t="inlineStr">
        <is>
          <t>Tier 4</t>
        </is>
      </c>
      <c r="D217" t="inlineStr">
        <is>
          <t>Schjødt</t>
        </is>
      </c>
      <c r="E217" t="inlineStr">
        <is>
          <t>Advokatfirman Schjødt</t>
        </is>
      </c>
    </row>
    <row r="218">
      <c r="A218" t="inlineStr">
        <is>
          <t>Dispute resolution</t>
        </is>
      </c>
      <c r="B218" t="inlineStr">
        <is>
          <t>Legal 500</t>
        </is>
      </c>
      <c r="C218" t="inlineStr">
        <is>
          <t>Tier 4</t>
        </is>
      </c>
      <c r="D218" t="inlineStr">
        <is>
          <t>TM &amp; Partners</t>
        </is>
      </c>
      <c r="E218" t="inlineStr">
        <is>
          <t>TM &amp; Partners</t>
        </is>
      </c>
    </row>
    <row r="219">
      <c r="A219" t="inlineStr">
        <is>
          <t>Dispute resolution</t>
        </is>
      </c>
      <c r="B219" t="inlineStr">
        <is>
          <t>Legal 500</t>
        </is>
      </c>
      <c r="C219" t="inlineStr">
        <is>
          <t>Tier 4</t>
        </is>
      </c>
      <c r="D219" t="inlineStr">
        <is>
          <t>A1 Advokater</t>
        </is>
      </c>
      <c r="E219" t="inlineStr">
        <is>
          <t>A1 Advokater</t>
        </is>
      </c>
    </row>
    <row r="220">
      <c r="A220" t="inlineStr">
        <is>
          <t>Dispute resolution</t>
        </is>
      </c>
      <c r="B220" t="inlineStr">
        <is>
          <t>Legal 500</t>
        </is>
      </c>
      <c r="C220" t="inlineStr">
        <is>
          <t>Tier 4</t>
        </is>
      </c>
      <c r="D220" t="inlineStr">
        <is>
          <t>Kastell</t>
        </is>
      </c>
      <c r="E220" t="inlineStr">
        <is>
          <t>Kastell Advokatbyrå AB</t>
        </is>
      </c>
    </row>
    <row r="221">
      <c r="A221" t="inlineStr">
        <is>
          <t>Dispute resolution</t>
        </is>
      </c>
      <c r="B221" t="inlineStr">
        <is>
          <t>Legal 500</t>
        </is>
      </c>
      <c r="C221" t="inlineStr">
        <is>
          <t>Tier 5</t>
        </is>
      </c>
      <c r="D221" t="inlineStr">
        <is>
          <t>Bird &amp; Bird</t>
        </is>
      </c>
      <c r="E221" t="inlineStr">
        <is>
          <t>Bird &amp; Bird</t>
        </is>
      </c>
    </row>
    <row r="222">
      <c r="A222" t="inlineStr">
        <is>
          <t>Dispute resolution</t>
        </is>
      </c>
      <c r="B222" t="inlineStr">
        <is>
          <t>Legal 500</t>
        </is>
      </c>
      <c r="C222" t="inlineStr">
        <is>
          <t>Tier 5</t>
        </is>
      </c>
      <c r="D222" t="inlineStr">
        <is>
          <t>Cirio</t>
        </is>
      </c>
      <c r="E222" t="inlineStr">
        <is>
          <t>Cirio Advokatbyrå AB</t>
        </is>
      </c>
    </row>
    <row r="223">
      <c r="A223" t="inlineStr">
        <is>
          <t>Dispute resolution</t>
        </is>
      </c>
      <c r="B223" t="inlineStr">
        <is>
          <t>Legal 500</t>
        </is>
      </c>
      <c r="C223" t="inlineStr">
        <is>
          <t>Tier 5</t>
        </is>
      </c>
      <c r="D223" t="inlineStr">
        <is>
          <t>Hellström</t>
        </is>
      </c>
      <c r="E223" t="inlineStr">
        <is>
          <t>Hellström Law</t>
        </is>
      </c>
    </row>
    <row r="224">
      <c r="A224" t="inlineStr">
        <is>
          <t>Dispute resolution</t>
        </is>
      </c>
      <c r="B224" t="inlineStr">
        <is>
          <t>Legal 500</t>
        </is>
      </c>
      <c r="C224" t="inlineStr">
        <is>
          <t>Tier 5</t>
        </is>
      </c>
      <c r="D224" t="inlineStr">
        <is>
          <t>Lindahl</t>
        </is>
      </c>
      <c r="E224" t="inlineStr">
        <is>
          <t>Advokatfirman Lindahl KB</t>
        </is>
      </c>
    </row>
    <row r="225">
      <c r="A225" t="inlineStr">
        <is>
          <t>Dispute resolution</t>
        </is>
      </c>
      <c r="B225" t="inlineStr">
        <is>
          <t>Legal 500</t>
        </is>
      </c>
      <c r="C225" t="inlineStr">
        <is>
          <t>Tier 5</t>
        </is>
      </c>
      <c r="D225" t="inlineStr">
        <is>
          <t>Magnusson</t>
        </is>
      </c>
      <c r="E225" t="inlineStr">
        <is>
          <t>Magnusson</t>
        </is>
      </c>
    </row>
    <row r="226">
      <c r="A226" t="inlineStr">
        <is>
          <t>Dispute resolution</t>
        </is>
      </c>
      <c r="B226" t="inlineStr">
        <is>
          <t>Legal 500</t>
        </is>
      </c>
      <c r="C226" t="inlineStr">
        <is>
          <t>Tier 5</t>
        </is>
      </c>
      <c r="D226" t="inlineStr">
        <is>
          <t>MAQS</t>
        </is>
      </c>
      <c r="E226" t="inlineStr">
        <is>
          <t>MAQS Advokatbyrå</t>
        </is>
      </c>
    </row>
    <row r="227">
      <c r="A227" t="inlineStr">
        <is>
          <t>Dispute resolution</t>
        </is>
      </c>
      <c r="B227" t="inlineStr">
        <is>
          <t>Legal 500</t>
        </is>
      </c>
      <c r="C227" t="inlineStr">
        <is>
          <t>Tier 5</t>
        </is>
      </c>
      <c r="D227" t="inlineStr">
        <is>
          <t>Norma</t>
        </is>
      </c>
      <c r="E227" t="inlineStr">
        <is>
          <t>NORMA Advokater KB</t>
        </is>
      </c>
    </row>
    <row r="228">
      <c r="A228" t="inlineStr">
        <is>
          <t>Restructuring / insolvency</t>
        </is>
      </c>
      <c r="B228" t="inlineStr">
        <is>
          <t>Chambers</t>
        </is>
      </c>
      <c r="C228" t="inlineStr">
        <is>
          <t>Band 1</t>
        </is>
      </c>
      <c r="D228" t="inlineStr">
        <is>
          <t>Vinge</t>
        </is>
      </c>
      <c r="E228" t="inlineStr">
        <is>
          <t>Advokatfirman Vinge KB</t>
        </is>
      </c>
    </row>
    <row r="229">
      <c r="A229" t="inlineStr">
        <is>
          <t>Restructuring / insolvency</t>
        </is>
      </c>
      <c r="B229" t="inlineStr">
        <is>
          <t>Chambers</t>
        </is>
      </c>
      <c r="C229" t="inlineStr">
        <is>
          <t>Band 1</t>
        </is>
      </c>
      <c r="D229" t="inlineStr">
        <is>
          <t>Gernandt &amp; Danielsson</t>
        </is>
      </c>
      <c r="E229" t="inlineStr">
        <is>
          <t>Gernandt &amp; Danielsson Advokatbyrå KB</t>
        </is>
      </c>
    </row>
    <row r="230">
      <c r="A230" t="inlineStr">
        <is>
          <t>Restructuring / insolvency</t>
        </is>
      </c>
      <c r="B230" t="inlineStr">
        <is>
          <t>Chambers</t>
        </is>
      </c>
      <c r="C230" t="inlineStr">
        <is>
          <t>Band 1</t>
        </is>
      </c>
      <c r="D230" t="inlineStr">
        <is>
          <t>Mannheimer Swartling</t>
        </is>
      </c>
      <c r="E230" t="inlineStr">
        <is>
          <t>Mannheimer Swartling</t>
        </is>
      </c>
    </row>
    <row r="231">
      <c r="A231" t="inlineStr">
        <is>
          <t>Restructuring / insolvency</t>
        </is>
      </c>
      <c r="B231" t="inlineStr">
        <is>
          <t>Chambers</t>
        </is>
      </c>
      <c r="C231" t="inlineStr">
        <is>
          <t>Band 1</t>
        </is>
      </c>
      <c r="D231" t="inlineStr">
        <is>
          <t>Roschier</t>
        </is>
      </c>
      <c r="E231" t="inlineStr">
        <is>
          <t>Roschier</t>
        </is>
      </c>
    </row>
    <row r="232">
      <c r="A232" t="inlineStr">
        <is>
          <t>Restructuring / insolvency</t>
        </is>
      </c>
      <c r="B232" t="inlineStr">
        <is>
          <t>Chambers</t>
        </is>
      </c>
      <c r="C232" t="inlineStr">
        <is>
          <t>Band 2</t>
        </is>
      </c>
      <c r="D232" t="inlineStr">
        <is>
          <t>Cederquist</t>
        </is>
      </c>
      <c r="E232" t="inlineStr">
        <is>
          <t>Advokatfirman Cederquist KB</t>
        </is>
      </c>
    </row>
    <row r="233">
      <c r="A233" t="inlineStr">
        <is>
          <t>Restructuring / insolvency</t>
        </is>
      </c>
      <c r="B233" t="inlineStr">
        <is>
          <t>Chambers</t>
        </is>
      </c>
      <c r="C233" t="inlineStr">
        <is>
          <t>Band 2</t>
        </is>
      </c>
      <c r="D233" t="inlineStr">
        <is>
          <t>Cirio</t>
        </is>
      </c>
      <c r="E233" t="inlineStr">
        <is>
          <t>Cirio Advokatbyrå AB</t>
        </is>
      </c>
    </row>
    <row r="234">
      <c r="A234" t="inlineStr">
        <is>
          <t>Restructuring / insolvency</t>
        </is>
      </c>
      <c r="B234" t="inlineStr">
        <is>
          <t>Chambers</t>
        </is>
      </c>
      <c r="C234" t="inlineStr">
        <is>
          <t>Band 3</t>
        </is>
      </c>
      <c r="D234" t="inlineStr">
        <is>
          <t>Schjødt</t>
        </is>
      </c>
      <c r="E234" t="inlineStr">
        <is>
          <t>Advokatfirman Schjødt</t>
        </is>
      </c>
    </row>
    <row r="235">
      <c r="A235" t="inlineStr">
        <is>
          <t>Restructuring / insolvency</t>
        </is>
      </c>
      <c r="B235" t="inlineStr">
        <is>
          <t>Chambers</t>
        </is>
      </c>
      <c r="C235" t="inlineStr">
        <is>
          <t>Band 3</t>
        </is>
      </c>
      <c r="D235" t="inlineStr">
        <is>
          <t>CMS Wistrand</t>
        </is>
      </c>
      <c r="E235" t="inlineStr">
        <is>
          <t>CMS Wistrand</t>
        </is>
      </c>
    </row>
    <row r="236">
      <c r="A236" t="inlineStr">
        <is>
          <t>Restructuring / insolvency</t>
        </is>
      </c>
      <c r="B236" t="inlineStr">
        <is>
          <t>Chambers</t>
        </is>
      </c>
      <c r="C236" t="inlineStr">
        <is>
          <t>Band 3</t>
        </is>
      </c>
      <c r="D236" t="inlineStr">
        <is>
          <t>DLA Piper</t>
        </is>
      </c>
      <c r="E236" t="inlineStr">
        <is>
          <t>DLA Piper</t>
        </is>
      </c>
    </row>
    <row r="237">
      <c r="A237" t="inlineStr">
        <is>
          <t>Restructuring / insolvency</t>
        </is>
      </c>
      <c r="B237" t="inlineStr">
        <is>
          <t>Legal 500</t>
        </is>
      </c>
      <c r="C237" t="inlineStr">
        <is>
          <t>Tier 1</t>
        </is>
      </c>
      <c r="D237" t="inlineStr">
        <is>
          <t>Cirio</t>
        </is>
      </c>
      <c r="E237" t="inlineStr">
        <is>
          <t>Cirio Advokatbyrå AB</t>
        </is>
      </c>
    </row>
    <row r="238">
      <c r="A238" t="inlineStr">
        <is>
          <t>Restructuring / insolvency</t>
        </is>
      </c>
      <c r="B238" t="inlineStr">
        <is>
          <t>Legal 500</t>
        </is>
      </c>
      <c r="C238" t="inlineStr">
        <is>
          <t>Tier 1</t>
        </is>
      </c>
      <c r="D238" t="inlineStr">
        <is>
          <t>CMS Wistrand</t>
        </is>
      </c>
      <c r="E238" t="inlineStr">
        <is>
          <t>CMS Wistrand</t>
        </is>
      </c>
    </row>
    <row r="239">
      <c r="A239" t="inlineStr">
        <is>
          <t>Restructuring / insolvency</t>
        </is>
      </c>
      <c r="B239" t="inlineStr">
        <is>
          <t>Legal 500</t>
        </is>
      </c>
      <c r="C239" t="inlineStr">
        <is>
          <t>Tier 1</t>
        </is>
      </c>
      <c r="D239" t="inlineStr">
        <is>
          <t>DLA Piper</t>
        </is>
      </c>
      <c r="E239" t="inlineStr">
        <is>
          <t>DLA Piper Sweden</t>
        </is>
      </c>
    </row>
    <row r="240">
      <c r="A240" t="inlineStr">
        <is>
          <t>Restructuring / insolvency</t>
        </is>
      </c>
      <c r="B240" t="inlineStr">
        <is>
          <t>Legal 500</t>
        </is>
      </c>
      <c r="C240" t="inlineStr">
        <is>
          <t>Tier 1</t>
        </is>
      </c>
      <c r="D240" t="inlineStr">
        <is>
          <t>Gernandt &amp; Danielsson</t>
        </is>
      </c>
      <c r="E240" t="inlineStr">
        <is>
          <t>Gernandt &amp; Danielsson Advokatbyrå</t>
        </is>
      </c>
    </row>
    <row r="241">
      <c r="A241" t="inlineStr">
        <is>
          <t>Restructuring / insolvency</t>
        </is>
      </c>
      <c r="B241" t="inlineStr">
        <is>
          <t>Legal 500</t>
        </is>
      </c>
      <c r="C241" t="inlineStr">
        <is>
          <t>Tier 1</t>
        </is>
      </c>
      <c r="D241" t="inlineStr">
        <is>
          <t>Mannheimer Swartling</t>
        </is>
      </c>
      <c r="E241" t="inlineStr">
        <is>
          <t>Mannheimer Swartling</t>
        </is>
      </c>
    </row>
    <row r="242">
      <c r="A242" t="inlineStr">
        <is>
          <t>Restructuring / insolvency</t>
        </is>
      </c>
      <c r="B242" t="inlineStr">
        <is>
          <t>Legal 500</t>
        </is>
      </c>
      <c r="C242" t="inlineStr">
        <is>
          <t>Tier 1</t>
        </is>
      </c>
      <c r="D242" t="inlineStr">
        <is>
          <t>Roschier</t>
        </is>
      </c>
      <c r="E242" t="inlineStr">
        <is>
          <t>Roschier</t>
        </is>
      </c>
    </row>
    <row r="243">
      <c r="A243" t="inlineStr">
        <is>
          <t>Restructuring / insolvency</t>
        </is>
      </c>
      <c r="B243" t="inlineStr">
        <is>
          <t>Legal 500</t>
        </is>
      </c>
      <c r="C243" t="inlineStr">
        <is>
          <t>Tier 1</t>
        </is>
      </c>
      <c r="D243" t="inlineStr">
        <is>
          <t>Vinge</t>
        </is>
      </c>
      <c r="E243" t="inlineStr">
        <is>
          <t>Advokatfirman Vinge KB</t>
        </is>
      </c>
    </row>
    <row r="244">
      <c r="A244" t="inlineStr">
        <is>
          <t>Restructuring / insolvency</t>
        </is>
      </c>
      <c r="B244" t="inlineStr">
        <is>
          <t>Legal 500</t>
        </is>
      </c>
      <c r="C244" t="inlineStr">
        <is>
          <t>Tier 2</t>
        </is>
      </c>
      <c r="D244" t="inlineStr">
        <is>
          <t>Fylgia</t>
        </is>
      </c>
      <c r="E244" t="inlineStr">
        <is>
          <t>Advokatfirman Fylgia KB</t>
        </is>
      </c>
    </row>
    <row r="245">
      <c r="A245" t="inlineStr">
        <is>
          <t>Restructuring / insolvency</t>
        </is>
      </c>
      <c r="B245" t="inlineStr">
        <is>
          <t>Legal 500</t>
        </is>
      </c>
      <c r="C245" t="inlineStr">
        <is>
          <t>Tier 2</t>
        </is>
      </c>
      <c r="D245" t="inlineStr">
        <is>
          <t>Schjødt</t>
        </is>
      </c>
      <c r="E245" t="inlineStr">
        <is>
          <t>Advokatfirman Schjødt</t>
        </is>
      </c>
    </row>
    <row r="246">
      <c r="A246" t="inlineStr">
        <is>
          <t>Restructuring / insolvency</t>
        </is>
      </c>
      <c r="B246" t="inlineStr">
        <is>
          <t>Legal 500</t>
        </is>
      </c>
      <c r="C246" t="inlineStr">
        <is>
          <t>Tier 3</t>
        </is>
      </c>
      <c r="D246" t="inlineStr">
        <is>
          <t>Cederquist</t>
        </is>
      </c>
      <c r="E246" t="inlineStr">
        <is>
          <t>Advokatfirman Cederquist KB</t>
        </is>
      </c>
    </row>
    <row r="247">
      <c r="A247" t="inlineStr">
        <is>
          <t>Restructuring / insolvency</t>
        </is>
      </c>
      <c r="B247" t="inlineStr">
        <is>
          <t>Legal 500</t>
        </is>
      </c>
      <c r="C247" t="inlineStr">
        <is>
          <t>Tier 3</t>
        </is>
      </c>
      <c r="D247" t="inlineStr">
        <is>
          <t>Setterwalls</t>
        </is>
      </c>
      <c r="E247" t="inlineStr">
        <is>
          <t>Setterwalls</t>
        </is>
      </c>
    </row>
    <row r="248">
      <c r="A248" t="inlineStr">
        <is>
          <t>Restructuring / insolvency</t>
        </is>
      </c>
      <c r="B248" t="inlineStr">
        <is>
          <t>Legal 500</t>
        </is>
      </c>
      <c r="C248" t="inlineStr">
        <is>
          <t>Tier 3</t>
        </is>
      </c>
      <c r="D248" t="inlineStr">
        <is>
          <t>Snellman</t>
        </is>
      </c>
      <c r="E248" t="inlineStr">
        <is>
          <t>Snellman</t>
        </is>
      </c>
    </row>
    <row r="249">
      <c r="A249" t="inlineStr">
        <is>
          <t>Restructuring / insolvency</t>
        </is>
      </c>
      <c r="B249" t="inlineStr">
        <is>
          <t>Legal 500</t>
        </is>
      </c>
      <c r="C249" t="inlineStr">
        <is>
          <t>Tier 4</t>
        </is>
      </c>
      <c r="D249" t="inlineStr">
        <is>
          <t>Merino</t>
        </is>
      </c>
      <c r="E249" t="inlineStr">
        <is>
          <t>Merino Advokatbyrå</t>
        </is>
      </c>
    </row>
    <row r="250">
      <c r="A250" t="inlineStr">
        <is>
          <t>Insolvency trustees</t>
        </is>
      </c>
      <c r="B250" t="inlineStr">
        <is>
          <t>Chambers</t>
        </is>
      </c>
      <c r="C250" t="inlineStr">
        <is>
          <t>Band 1</t>
        </is>
      </c>
      <c r="D250" t="inlineStr">
        <is>
          <t>Schjødt</t>
        </is>
      </c>
      <c r="E250" t="inlineStr">
        <is>
          <t>Advokatfirman Schjødt</t>
        </is>
      </c>
    </row>
    <row r="251">
      <c r="A251" t="inlineStr">
        <is>
          <t>Insolvency trustees</t>
        </is>
      </c>
      <c r="B251" t="inlineStr">
        <is>
          <t>Chambers</t>
        </is>
      </c>
      <c r="C251" t="inlineStr">
        <is>
          <t>Band 1</t>
        </is>
      </c>
      <c r="D251" t="inlineStr">
        <is>
          <t>Cirio</t>
        </is>
      </c>
      <c r="E251" t="inlineStr">
        <is>
          <t>Cirio Advokatbyrå AB</t>
        </is>
      </c>
    </row>
    <row r="252">
      <c r="A252" t="inlineStr">
        <is>
          <t>Insolvency trustees</t>
        </is>
      </c>
      <c r="B252" t="inlineStr">
        <is>
          <t>Chambers</t>
        </is>
      </c>
      <c r="C252" t="inlineStr">
        <is>
          <t>Band 2</t>
        </is>
      </c>
      <c r="D252" t="inlineStr">
        <is>
          <t>CMS Wistrand</t>
        </is>
      </c>
      <c r="E252" t="inlineStr">
        <is>
          <t>CMS Wistrand</t>
        </is>
      </c>
    </row>
    <row r="253">
      <c r="A253" t="inlineStr">
        <is>
          <t>Insolvency trustees</t>
        </is>
      </c>
      <c r="B253" t="inlineStr">
        <is>
          <t>Chambers</t>
        </is>
      </c>
      <c r="C253" t="inlineStr">
        <is>
          <t>Band 2</t>
        </is>
      </c>
      <c r="D253" t="inlineStr">
        <is>
          <t>DLA Piper</t>
        </is>
      </c>
      <c r="E253" t="inlineStr">
        <is>
          <t>DLA Piper</t>
        </is>
      </c>
    </row>
    <row r="254">
      <c r="A254" t="inlineStr">
        <is>
          <t>Insolvency trustees</t>
        </is>
      </c>
      <c r="B254" t="inlineStr">
        <is>
          <t>Chambers</t>
        </is>
      </c>
      <c r="C254" t="inlineStr">
        <is>
          <t>Band 3</t>
        </is>
      </c>
      <c r="D254" t="inlineStr">
        <is>
          <t>Carler</t>
        </is>
      </c>
      <c r="E254" t="inlineStr">
        <is>
          <t>Advokatfirman Carler</t>
        </is>
      </c>
    </row>
    <row r="255">
      <c r="A255" t="inlineStr">
        <is>
          <t>Insolvency trustees</t>
        </is>
      </c>
      <c r="B255" t="inlineStr">
        <is>
          <t>Chambers</t>
        </is>
      </c>
      <c r="C255" t="inlineStr">
        <is>
          <t>Band 3</t>
        </is>
      </c>
      <c r="D255" t="inlineStr">
        <is>
          <t>Fylgia</t>
        </is>
      </c>
      <c r="E255" t="inlineStr">
        <is>
          <t>Advokatfirman Fylgia KB</t>
        </is>
      </c>
    </row>
    <row r="256">
      <c r="A256" t="inlineStr">
        <is>
          <t>Competition / EU</t>
        </is>
      </c>
      <c r="B256" t="inlineStr">
        <is>
          <t>Chambers</t>
        </is>
      </c>
      <c r="C256" t="inlineStr">
        <is>
          <t>Band 1</t>
        </is>
      </c>
      <c r="D256" t="inlineStr">
        <is>
          <t>Vinge</t>
        </is>
      </c>
      <c r="E256" t="inlineStr">
        <is>
          <t>Advokatfirman Vinge KB</t>
        </is>
      </c>
    </row>
    <row r="257">
      <c r="A257" t="inlineStr">
        <is>
          <t>Competition / EU</t>
        </is>
      </c>
      <c r="B257" t="inlineStr">
        <is>
          <t>Chambers</t>
        </is>
      </c>
      <c r="C257" t="inlineStr">
        <is>
          <t>Band 1</t>
        </is>
      </c>
      <c r="D257" t="inlineStr">
        <is>
          <t>Bokwall Rislund</t>
        </is>
      </c>
      <c r="E257" t="inlineStr">
        <is>
          <t>BOKWALL RISLUND Advisors</t>
        </is>
      </c>
    </row>
    <row r="258">
      <c r="A258" t="inlineStr">
        <is>
          <t>Competition / EU</t>
        </is>
      </c>
      <c r="B258" t="inlineStr">
        <is>
          <t>Chambers</t>
        </is>
      </c>
      <c r="C258" t="inlineStr">
        <is>
          <t>Band 1</t>
        </is>
      </c>
      <c r="D258" t="inlineStr">
        <is>
          <t>Mannheimer Swartling</t>
        </is>
      </c>
      <c r="E258" t="inlineStr">
        <is>
          <t>Mannheimer Swartling</t>
        </is>
      </c>
    </row>
    <row r="259">
      <c r="A259" t="inlineStr">
        <is>
          <t>Competition / EU</t>
        </is>
      </c>
      <c r="B259" t="inlineStr">
        <is>
          <t>Chambers</t>
        </is>
      </c>
      <c r="C259" t="inlineStr">
        <is>
          <t>Band 2</t>
        </is>
      </c>
      <c r="D259" t="inlineStr">
        <is>
          <t>Delphi</t>
        </is>
      </c>
      <c r="E259" t="inlineStr">
        <is>
          <t>Delphi</t>
        </is>
      </c>
    </row>
    <row r="260">
      <c r="A260" t="inlineStr">
        <is>
          <t>Competition / EU</t>
        </is>
      </c>
      <c r="B260" t="inlineStr">
        <is>
          <t>Chambers</t>
        </is>
      </c>
      <c r="C260" t="inlineStr">
        <is>
          <t>Band 2</t>
        </is>
      </c>
      <c r="D260" t="inlineStr">
        <is>
          <t>Kastell</t>
        </is>
      </c>
      <c r="E260" t="inlineStr">
        <is>
          <t>Kastell Advokatbyrå</t>
        </is>
      </c>
    </row>
    <row r="261">
      <c r="A261" t="inlineStr">
        <is>
          <t>Competition / EU</t>
        </is>
      </c>
      <c r="B261" t="inlineStr">
        <is>
          <t>Chambers</t>
        </is>
      </c>
      <c r="C261" t="inlineStr">
        <is>
          <t>Band 2</t>
        </is>
      </c>
      <c r="D261" t="inlineStr">
        <is>
          <t>Roschier</t>
        </is>
      </c>
      <c r="E261" t="inlineStr">
        <is>
          <t>Roschier</t>
        </is>
      </c>
    </row>
    <row r="262">
      <c r="A262" t="inlineStr">
        <is>
          <t>Competition / EU</t>
        </is>
      </c>
      <c r="B262" t="inlineStr">
        <is>
          <t>Chambers</t>
        </is>
      </c>
      <c r="C262" t="inlineStr">
        <is>
          <t>Band 3</t>
        </is>
      </c>
      <c r="D262" t="inlineStr">
        <is>
          <t>Cederquist</t>
        </is>
      </c>
      <c r="E262" t="inlineStr">
        <is>
          <t>Advokatfirman Cederquist KB</t>
        </is>
      </c>
    </row>
    <row r="263">
      <c r="A263" t="inlineStr">
        <is>
          <t>Competition / EU</t>
        </is>
      </c>
      <c r="B263" t="inlineStr">
        <is>
          <t>Chambers</t>
        </is>
      </c>
      <c r="C263" t="inlineStr">
        <is>
          <t>Band 3</t>
        </is>
      </c>
      <c r="D263" t="inlineStr">
        <is>
          <t>Setterwalls</t>
        </is>
      </c>
      <c r="E263" t="inlineStr">
        <is>
          <t>Setterwalls</t>
        </is>
      </c>
    </row>
    <row r="264">
      <c r="A264" t="inlineStr">
        <is>
          <t>Competition / EU</t>
        </is>
      </c>
      <c r="B264" t="inlineStr">
        <is>
          <t>Chambers</t>
        </is>
      </c>
      <c r="C264" t="inlineStr">
        <is>
          <t>Band 4</t>
        </is>
      </c>
      <c r="D264" t="inlineStr">
        <is>
          <t>Hammarskiöld</t>
        </is>
      </c>
      <c r="E264" t="inlineStr">
        <is>
          <t>Advokatfirman Hammarskiöld &amp; Co AB</t>
        </is>
      </c>
    </row>
    <row r="265">
      <c r="A265" t="inlineStr">
        <is>
          <t>Competition / EU</t>
        </is>
      </c>
      <c r="B265" t="inlineStr">
        <is>
          <t>Chambers</t>
        </is>
      </c>
      <c r="C265" t="inlineStr">
        <is>
          <t>Band 4</t>
        </is>
      </c>
      <c r="D265" t="inlineStr">
        <is>
          <t>Schjødt</t>
        </is>
      </c>
      <c r="E265" t="inlineStr">
        <is>
          <t>Advokatfirman Schjødt</t>
        </is>
      </c>
    </row>
    <row r="266">
      <c r="A266" t="inlineStr">
        <is>
          <t>Competition / EU</t>
        </is>
      </c>
      <c r="B266" t="inlineStr">
        <is>
          <t>Chambers</t>
        </is>
      </c>
      <c r="C266" t="inlineStr">
        <is>
          <t>Band 4</t>
        </is>
      </c>
      <c r="D266" t="inlineStr">
        <is>
          <t>DLA Piper</t>
        </is>
      </c>
      <c r="E266" t="inlineStr">
        <is>
          <t>DLA Piper</t>
        </is>
      </c>
    </row>
    <row r="267">
      <c r="A267" t="inlineStr">
        <is>
          <t>Competition / EU</t>
        </is>
      </c>
      <c r="B267" t="inlineStr">
        <is>
          <t>Chambers</t>
        </is>
      </c>
      <c r="C267" t="inlineStr">
        <is>
          <t>Band 4</t>
        </is>
      </c>
      <c r="D267" t="inlineStr">
        <is>
          <t>Snellman</t>
        </is>
      </c>
      <c r="E267" t="inlineStr">
        <is>
          <t>Snellman Advokatbyrå AB</t>
        </is>
      </c>
    </row>
    <row r="268">
      <c r="A268" t="inlineStr">
        <is>
          <t>Competition / EU</t>
        </is>
      </c>
      <c r="B268" t="inlineStr">
        <is>
          <t>Legal 500</t>
        </is>
      </c>
      <c r="C268" t="inlineStr">
        <is>
          <t>Tier 1</t>
        </is>
      </c>
      <c r="D268" t="inlineStr">
        <is>
          <t>Bokwall Rislund</t>
        </is>
      </c>
      <c r="E268" t="inlineStr">
        <is>
          <t>BOKWALL RISLUND</t>
        </is>
      </c>
    </row>
    <row r="269">
      <c r="A269" t="inlineStr">
        <is>
          <t>Competition / EU</t>
        </is>
      </c>
      <c r="B269" t="inlineStr">
        <is>
          <t>Legal 500</t>
        </is>
      </c>
      <c r="C269" t="inlineStr">
        <is>
          <t>Tier 1</t>
        </is>
      </c>
      <c r="D269" t="inlineStr">
        <is>
          <t>Mannheimer Swartling</t>
        </is>
      </c>
      <c r="E269" t="inlineStr">
        <is>
          <t>Mannheimer Swartling</t>
        </is>
      </c>
    </row>
    <row r="270">
      <c r="A270" t="inlineStr">
        <is>
          <t>Competition / EU</t>
        </is>
      </c>
      <c r="B270" t="inlineStr">
        <is>
          <t>Legal 500</t>
        </is>
      </c>
      <c r="C270" t="inlineStr">
        <is>
          <t>Tier 1</t>
        </is>
      </c>
      <c r="D270" t="inlineStr">
        <is>
          <t>Roschier</t>
        </is>
      </c>
      <c r="E270" t="inlineStr">
        <is>
          <t>Roschier</t>
        </is>
      </c>
    </row>
    <row r="271">
      <c r="A271" t="inlineStr">
        <is>
          <t>Competition / EU</t>
        </is>
      </c>
      <c r="B271" t="inlineStr">
        <is>
          <t>Legal 500</t>
        </is>
      </c>
      <c r="C271" t="inlineStr">
        <is>
          <t>Tier 1</t>
        </is>
      </c>
      <c r="D271" t="inlineStr">
        <is>
          <t>Vinge</t>
        </is>
      </c>
      <c r="E271" t="inlineStr">
        <is>
          <t>Advokatfirman Vinge KB</t>
        </is>
      </c>
    </row>
    <row r="272">
      <c r="A272" t="inlineStr">
        <is>
          <t>Competition / EU</t>
        </is>
      </c>
      <c r="B272" t="inlineStr">
        <is>
          <t>Legal 500</t>
        </is>
      </c>
      <c r="C272" t="inlineStr">
        <is>
          <t>Tier 2</t>
        </is>
      </c>
      <c r="D272" t="inlineStr">
        <is>
          <t>Cederquist</t>
        </is>
      </c>
      <c r="E272" t="inlineStr">
        <is>
          <t>Advokatfirman Cederquist KB</t>
        </is>
      </c>
    </row>
    <row r="273">
      <c r="A273" t="inlineStr">
        <is>
          <t>Competition / EU</t>
        </is>
      </c>
      <c r="B273" t="inlineStr">
        <is>
          <t>Legal 500</t>
        </is>
      </c>
      <c r="C273" t="inlineStr">
        <is>
          <t>Tier 2</t>
        </is>
      </c>
      <c r="D273" t="inlineStr">
        <is>
          <t>Delphi</t>
        </is>
      </c>
      <c r="E273" t="inlineStr">
        <is>
          <t>Advokatfirman Delphi</t>
        </is>
      </c>
    </row>
    <row r="274">
      <c r="A274" t="inlineStr">
        <is>
          <t>Competition / EU</t>
        </is>
      </c>
      <c r="B274" t="inlineStr">
        <is>
          <t>Legal 500</t>
        </is>
      </c>
      <c r="C274" t="inlineStr">
        <is>
          <t>Tier 2</t>
        </is>
      </c>
      <c r="D274" t="inlineStr">
        <is>
          <t>Setterwalls</t>
        </is>
      </c>
      <c r="E274" t="inlineStr">
        <is>
          <t>Setterwalls</t>
        </is>
      </c>
    </row>
    <row r="275">
      <c r="A275" t="inlineStr">
        <is>
          <t>Competition / EU</t>
        </is>
      </c>
      <c r="B275" t="inlineStr">
        <is>
          <t>Legal 500</t>
        </is>
      </c>
      <c r="C275" t="inlineStr">
        <is>
          <t>Tier 2</t>
        </is>
      </c>
      <c r="D275" t="inlineStr">
        <is>
          <t>Kastell</t>
        </is>
      </c>
      <c r="E275" t="inlineStr">
        <is>
          <t>Kastell Advokatbyrå AB</t>
        </is>
      </c>
    </row>
    <row r="276">
      <c r="A276" t="inlineStr">
        <is>
          <t>Competition / EU</t>
        </is>
      </c>
      <c r="B276" t="inlineStr">
        <is>
          <t>Legal 500</t>
        </is>
      </c>
      <c r="C276" t="inlineStr">
        <is>
          <t>Tier 3</t>
        </is>
      </c>
      <c r="D276" t="inlineStr">
        <is>
          <t>Cirio</t>
        </is>
      </c>
      <c r="E276" t="inlineStr">
        <is>
          <t>Cirio Advokatbyrå AB</t>
        </is>
      </c>
    </row>
    <row r="277">
      <c r="A277" t="inlineStr">
        <is>
          <t>Competition / EU</t>
        </is>
      </c>
      <c r="B277" t="inlineStr">
        <is>
          <t>Legal 500</t>
        </is>
      </c>
      <c r="C277" t="inlineStr">
        <is>
          <t>Tier 3</t>
        </is>
      </c>
      <c r="D277" t="inlineStr">
        <is>
          <t>DLA Piper</t>
        </is>
      </c>
      <c r="E277" t="inlineStr">
        <is>
          <t>DLA Piper Sweden</t>
        </is>
      </c>
    </row>
    <row r="278">
      <c r="A278" t="inlineStr">
        <is>
          <t>Competition / EU</t>
        </is>
      </c>
      <c r="B278" t="inlineStr">
        <is>
          <t>Legal 500</t>
        </is>
      </c>
      <c r="C278" t="inlineStr">
        <is>
          <t>Tier 3</t>
        </is>
      </c>
      <c r="D278" t="inlineStr">
        <is>
          <t>Hammarskiöld</t>
        </is>
      </c>
      <c r="E278" t="inlineStr">
        <is>
          <t>Hammarskiöld</t>
        </is>
      </c>
    </row>
    <row r="279">
      <c r="A279" t="inlineStr">
        <is>
          <t>Competition / EU</t>
        </is>
      </c>
      <c r="B279" t="inlineStr">
        <is>
          <t>Legal 500</t>
        </is>
      </c>
      <c r="C279" t="inlineStr">
        <is>
          <t>Tier 3</t>
        </is>
      </c>
      <c r="D279" t="inlineStr">
        <is>
          <t>Snellman</t>
        </is>
      </c>
      <c r="E279" t="inlineStr">
        <is>
          <t>Snellman</t>
        </is>
      </c>
    </row>
    <row r="280">
      <c r="A280" t="inlineStr">
        <is>
          <t>Competition / EU</t>
        </is>
      </c>
      <c r="B280" t="inlineStr">
        <is>
          <t>Legal 500</t>
        </is>
      </c>
      <c r="C280" t="inlineStr">
        <is>
          <t>Tier 4</t>
        </is>
      </c>
      <c r="D280" t="inlineStr">
        <is>
          <t>Gernandt &amp; Danielsson</t>
        </is>
      </c>
      <c r="E280" t="inlineStr">
        <is>
          <t>Gernandt &amp; Danielsson Advokatbyrå</t>
        </is>
      </c>
    </row>
    <row r="281">
      <c r="A281" t="inlineStr">
        <is>
          <t>Competition / EU</t>
        </is>
      </c>
      <c r="B281" t="inlineStr">
        <is>
          <t>Legal 500</t>
        </is>
      </c>
      <c r="C281" t="inlineStr">
        <is>
          <t>Tier 4</t>
        </is>
      </c>
      <c r="D281" t="inlineStr">
        <is>
          <t>Magnusson</t>
        </is>
      </c>
      <c r="E281" t="inlineStr">
        <is>
          <t>Magnusson</t>
        </is>
      </c>
    </row>
    <row r="282">
      <c r="A282" t="inlineStr">
        <is>
          <t>Competition / EU</t>
        </is>
      </c>
      <c r="B282" t="inlineStr">
        <is>
          <t>Legal 500</t>
        </is>
      </c>
      <c r="C282" t="inlineStr">
        <is>
          <t>Tier 4</t>
        </is>
      </c>
      <c r="D282" t="inlineStr">
        <is>
          <t>MAQS</t>
        </is>
      </c>
      <c r="E282" t="inlineStr">
        <is>
          <t>MAQS Advokatbyrå</t>
        </is>
      </c>
    </row>
    <row r="283">
      <c r="A283" t="inlineStr">
        <is>
          <t>Competition / EU</t>
        </is>
      </c>
      <c r="B283" t="inlineStr">
        <is>
          <t>Legal 500</t>
        </is>
      </c>
      <c r="C283" t="inlineStr">
        <is>
          <t>Tier 4</t>
        </is>
      </c>
      <c r="D283" t="inlineStr">
        <is>
          <t>Schjødt</t>
        </is>
      </c>
      <c r="E283" t="inlineStr">
        <is>
          <t>Advokatfirman Schjødt</t>
        </is>
      </c>
    </row>
    <row r="284">
      <c r="A284" t="inlineStr">
        <is>
          <t>Employment</t>
        </is>
      </c>
      <c r="B284" t="inlineStr">
        <is>
          <t>Chambers</t>
        </is>
      </c>
      <c r="C284" t="inlineStr">
        <is>
          <t>Band 1</t>
        </is>
      </c>
      <c r="D284" t="inlineStr">
        <is>
          <t>Vinge</t>
        </is>
      </c>
      <c r="E284" t="inlineStr">
        <is>
          <t>Advokatfirman Vinge KB</t>
        </is>
      </c>
    </row>
    <row r="285">
      <c r="A285" t="inlineStr">
        <is>
          <t>Employment</t>
        </is>
      </c>
      <c r="B285" t="inlineStr">
        <is>
          <t>Chambers</t>
        </is>
      </c>
      <c r="C285" t="inlineStr">
        <is>
          <t>Band 1</t>
        </is>
      </c>
      <c r="D285" t="inlineStr">
        <is>
          <t>Mannheimer Swartling</t>
        </is>
      </c>
      <c r="E285" t="inlineStr">
        <is>
          <t>Mannheimer Swartling</t>
        </is>
      </c>
    </row>
    <row r="286">
      <c r="A286" t="inlineStr">
        <is>
          <t>Employment</t>
        </is>
      </c>
      <c r="B286" t="inlineStr">
        <is>
          <t>Chambers</t>
        </is>
      </c>
      <c r="C286" t="inlineStr">
        <is>
          <t>Band 1</t>
        </is>
      </c>
      <c r="D286" t="inlineStr">
        <is>
          <t>Setterwalls</t>
        </is>
      </c>
      <c r="E286" t="inlineStr">
        <is>
          <t>Setterwalls</t>
        </is>
      </c>
    </row>
    <row r="287">
      <c r="A287" t="inlineStr">
        <is>
          <t>Employment</t>
        </is>
      </c>
      <c r="B287" t="inlineStr">
        <is>
          <t>Chambers</t>
        </is>
      </c>
      <c r="C287" t="inlineStr">
        <is>
          <t>Band 2</t>
        </is>
      </c>
      <c r="D287" t="inlineStr">
        <is>
          <t>Cederquist</t>
        </is>
      </c>
      <c r="E287" t="inlineStr">
        <is>
          <t>Advokatfirman Cederquist KB</t>
        </is>
      </c>
    </row>
    <row r="288">
      <c r="A288" t="inlineStr">
        <is>
          <t>Employment</t>
        </is>
      </c>
      <c r="B288" t="inlineStr">
        <is>
          <t>Chambers</t>
        </is>
      </c>
      <c r="C288" t="inlineStr">
        <is>
          <t>Band 2</t>
        </is>
      </c>
      <c r="D288" t="inlineStr">
        <is>
          <t>DLA Piper</t>
        </is>
      </c>
      <c r="E288" t="inlineStr">
        <is>
          <t>DLA Piper</t>
        </is>
      </c>
    </row>
    <row r="289">
      <c r="A289" t="inlineStr">
        <is>
          <t>Employment</t>
        </is>
      </c>
      <c r="B289" t="inlineStr">
        <is>
          <t>Chambers</t>
        </is>
      </c>
      <c r="C289" t="inlineStr">
        <is>
          <t>Band 2</t>
        </is>
      </c>
      <c r="D289" t="inlineStr">
        <is>
          <t>Elmzell</t>
        </is>
      </c>
      <c r="E289" t="inlineStr">
        <is>
          <t>Elmzell Advokatbyrå</t>
        </is>
      </c>
    </row>
    <row r="290">
      <c r="A290" t="inlineStr">
        <is>
          <t>Employment</t>
        </is>
      </c>
      <c r="B290" t="inlineStr">
        <is>
          <t>Chambers</t>
        </is>
      </c>
      <c r="C290" t="inlineStr">
        <is>
          <t>Band 2</t>
        </is>
      </c>
      <c r="D290" t="inlineStr">
        <is>
          <t>Roschier</t>
        </is>
      </c>
      <c r="E290" t="inlineStr">
        <is>
          <t>Roschier</t>
        </is>
      </c>
    </row>
    <row r="291">
      <c r="A291" t="inlineStr">
        <is>
          <t>Employment</t>
        </is>
      </c>
      <c r="B291" t="inlineStr">
        <is>
          <t>Chambers</t>
        </is>
      </c>
      <c r="C291" t="inlineStr">
        <is>
          <t>Band 3</t>
        </is>
      </c>
      <c r="D291" t="inlineStr">
        <is>
          <t>Lindahl</t>
        </is>
      </c>
      <c r="E291" t="inlineStr">
        <is>
          <t>Advokatfirman Lindahl</t>
        </is>
      </c>
    </row>
    <row r="292">
      <c r="A292" t="inlineStr">
        <is>
          <t>Employment</t>
        </is>
      </c>
      <c r="B292" t="inlineStr">
        <is>
          <t>Chambers</t>
        </is>
      </c>
      <c r="C292" t="inlineStr">
        <is>
          <t>Band 3</t>
        </is>
      </c>
      <c r="D292" t="inlineStr">
        <is>
          <t>Bird &amp; Bird</t>
        </is>
      </c>
      <c r="E292" t="inlineStr">
        <is>
          <t>Bird &amp; Bird</t>
        </is>
      </c>
    </row>
    <row r="293">
      <c r="A293" t="inlineStr">
        <is>
          <t>Employment</t>
        </is>
      </c>
      <c r="B293" t="inlineStr">
        <is>
          <t>Chambers</t>
        </is>
      </c>
      <c r="C293" t="inlineStr">
        <is>
          <t>Band 3</t>
        </is>
      </c>
      <c r="D293" t="inlineStr">
        <is>
          <t>Morris Law</t>
        </is>
      </c>
      <c r="E293" t="inlineStr">
        <is>
          <t>Morris Law AB</t>
        </is>
      </c>
    </row>
    <row r="294">
      <c r="A294" t="inlineStr">
        <is>
          <t>Employment</t>
        </is>
      </c>
      <c r="B294" t="inlineStr">
        <is>
          <t>Chambers</t>
        </is>
      </c>
      <c r="C294" t="inlineStr">
        <is>
          <t>Band 3</t>
        </is>
      </c>
      <c r="D294" t="inlineStr">
        <is>
          <t>TM &amp; Partners</t>
        </is>
      </c>
      <c r="E294" t="inlineStr">
        <is>
          <t>TM &amp; Partners</t>
        </is>
      </c>
    </row>
    <row r="295">
      <c r="A295" t="inlineStr">
        <is>
          <t>Employment</t>
        </is>
      </c>
      <c r="B295" t="inlineStr">
        <is>
          <t>Chambers</t>
        </is>
      </c>
      <c r="C295" t="inlineStr">
        <is>
          <t>Band 4</t>
        </is>
      </c>
      <c r="D295" t="inlineStr">
        <is>
          <t>Schjødt</t>
        </is>
      </c>
      <c r="E295" t="inlineStr">
        <is>
          <t>Advokatfirman Schjødt</t>
        </is>
      </c>
    </row>
    <row r="296">
      <c r="A296" t="inlineStr">
        <is>
          <t>Employment</t>
        </is>
      </c>
      <c r="B296" t="inlineStr">
        <is>
          <t>Chambers</t>
        </is>
      </c>
      <c r="C296" t="inlineStr">
        <is>
          <t>Band 4</t>
        </is>
      </c>
      <c r="D296" t="inlineStr">
        <is>
          <t>Baker McKenzie</t>
        </is>
      </c>
      <c r="E296" t="inlineStr">
        <is>
          <t>Baker McKenzie</t>
        </is>
      </c>
    </row>
    <row r="297">
      <c r="A297" t="inlineStr">
        <is>
          <t>Employment</t>
        </is>
      </c>
      <c r="B297" t="inlineStr">
        <is>
          <t>Chambers</t>
        </is>
      </c>
      <c r="C297" t="inlineStr">
        <is>
          <t>Band 4</t>
        </is>
      </c>
      <c r="D297" t="inlineStr">
        <is>
          <t>Delphi</t>
        </is>
      </c>
      <c r="E297" t="inlineStr">
        <is>
          <t>Delphi</t>
        </is>
      </c>
    </row>
    <row r="298">
      <c r="A298" t="inlineStr">
        <is>
          <t>Employment</t>
        </is>
      </c>
      <c r="B298" t="inlineStr">
        <is>
          <t>Chambers</t>
        </is>
      </c>
      <c r="C298" t="inlineStr">
        <is>
          <t>Band 4</t>
        </is>
      </c>
      <c r="D298" t="inlineStr">
        <is>
          <t>Eversheds Sutherland</t>
        </is>
      </c>
      <c r="E298" t="inlineStr">
        <is>
          <t>Eversheds Sutherland Advokatbyrå AB</t>
        </is>
      </c>
    </row>
    <row r="299">
      <c r="A299" t="inlineStr">
        <is>
          <t>Employment</t>
        </is>
      </c>
      <c r="B299" t="inlineStr">
        <is>
          <t>Chambers</t>
        </is>
      </c>
      <c r="C299" t="inlineStr">
        <is>
          <t>Band 4</t>
        </is>
      </c>
      <c r="D299" t="inlineStr">
        <is>
          <t>MAQS</t>
        </is>
      </c>
      <c r="E299" t="inlineStr">
        <is>
          <t>MAQS Advokatbyrå</t>
        </is>
      </c>
    </row>
    <row r="300">
      <c r="A300" t="inlineStr">
        <is>
          <t>Employment</t>
        </is>
      </c>
      <c r="B300" t="inlineStr">
        <is>
          <t>Chambers</t>
        </is>
      </c>
      <c r="C300" t="inlineStr">
        <is>
          <t>Band 4</t>
        </is>
      </c>
      <c r="D300" t="inlineStr">
        <is>
          <t>Next Law</t>
        </is>
      </c>
      <c r="E300" t="inlineStr">
        <is>
          <t>Next Law KB</t>
        </is>
      </c>
    </row>
    <row r="301">
      <c r="A301" t="inlineStr">
        <is>
          <t>Employment</t>
        </is>
      </c>
      <c r="B301" t="inlineStr">
        <is>
          <t>Chambers</t>
        </is>
      </c>
      <c r="C301" t="inlineStr">
        <is>
          <t>Band 4</t>
        </is>
      </c>
      <c r="D301" t="inlineStr">
        <is>
          <t>Snellman</t>
        </is>
      </c>
      <c r="E301" t="inlineStr">
        <is>
          <t>Snellman Advokatbyrå AB</t>
        </is>
      </c>
    </row>
    <row r="302">
      <c r="A302" t="inlineStr">
        <is>
          <t>Employment</t>
        </is>
      </c>
      <c r="B302" t="inlineStr">
        <is>
          <t>Legal 500</t>
        </is>
      </c>
      <c r="C302" t="inlineStr">
        <is>
          <t>Tier 1</t>
        </is>
      </c>
      <c r="D302" t="inlineStr">
        <is>
          <t>Mannheimer Swartling</t>
        </is>
      </c>
      <c r="E302" t="inlineStr">
        <is>
          <t>Mannheimer Swartling</t>
        </is>
      </c>
    </row>
    <row r="303">
      <c r="A303" t="inlineStr">
        <is>
          <t>Employment</t>
        </is>
      </c>
      <c r="B303" t="inlineStr">
        <is>
          <t>Legal 500</t>
        </is>
      </c>
      <c r="C303" t="inlineStr">
        <is>
          <t>Tier 1</t>
        </is>
      </c>
      <c r="D303" t="inlineStr">
        <is>
          <t>Vinge</t>
        </is>
      </c>
      <c r="E303" t="inlineStr">
        <is>
          <t>Advokatfirman Vinge KB</t>
        </is>
      </c>
    </row>
    <row r="304">
      <c r="A304" t="inlineStr">
        <is>
          <t>Employment</t>
        </is>
      </c>
      <c r="B304" t="inlineStr">
        <is>
          <t>Legal 500</t>
        </is>
      </c>
      <c r="C304" t="inlineStr">
        <is>
          <t>Tier 2</t>
        </is>
      </c>
      <c r="D304" t="inlineStr">
        <is>
          <t>Cederquist</t>
        </is>
      </c>
      <c r="E304" t="inlineStr">
        <is>
          <t>Advokatfirman Cederquist KB</t>
        </is>
      </c>
    </row>
    <row r="305">
      <c r="A305" t="inlineStr">
        <is>
          <t>Employment</t>
        </is>
      </c>
      <c r="B305" t="inlineStr">
        <is>
          <t>Legal 500</t>
        </is>
      </c>
      <c r="C305" t="inlineStr">
        <is>
          <t>Tier 2</t>
        </is>
      </c>
      <c r="D305" t="inlineStr">
        <is>
          <t>DLA Piper</t>
        </is>
      </c>
      <c r="E305" t="inlineStr">
        <is>
          <t>DLA Piper Sweden</t>
        </is>
      </c>
    </row>
    <row r="306">
      <c r="A306" t="inlineStr">
        <is>
          <t>Employment</t>
        </is>
      </c>
      <c r="B306" t="inlineStr">
        <is>
          <t>Legal 500</t>
        </is>
      </c>
      <c r="C306" t="inlineStr">
        <is>
          <t>Tier 2</t>
        </is>
      </c>
      <c r="D306" t="inlineStr">
        <is>
          <t>Lindahl</t>
        </is>
      </c>
      <c r="E306" t="inlineStr">
        <is>
          <t>Advokatfirman Lindahl KB</t>
        </is>
      </c>
    </row>
    <row r="307">
      <c r="A307" t="inlineStr">
        <is>
          <t>Employment</t>
        </is>
      </c>
      <c r="B307" t="inlineStr">
        <is>
          <t>Legal 500</t>
        </is>
      </c>
      <c r="C307" t="inlineStr">
        <is>
          <t>Tier 2</t>
        </is>
      </c>
      <c r="D307" t="inlineStr">
        <is>
          <t>Morris Law</t>
        </is>
      </c>
      <c r="E307" t="inlineStr">
        <is>
          <t>Morris Law</t>
        </is>
      </c>
    </row>
    <row r="308">
      <c r="A308" t="inlineStr">
        <is>
          <t>Employment</t>
        </is>
      </c>
      <c r="B308" t="inlineStr">
        <is>
          <t>Legal 500</t>
        </is>
      </c>
      <c r="C308" t="inlineStr">
        <is>
          <t>Tier 2</t>
        </is>
      </c>
      <c r="D308" t="inlineStr">
        <is>
          <t>Roschier</t>
        </is>
      </c>
      <c r="E308" t="inlineStr">
        <is>
          <t>Roschier</t>
        </is>
      </c>
    </row>
    <row r="309">
      <c r="A309" t="inlineStr">
        <is>
          <t>Employment</t>
        </is>
      </c>
      <c r="B309" t="inlineStr">
        <is>
          <t>Legal 500</t>
        </is>
      </c>
      <c r="C309" t="inlineStr">
        <is>
          <t>Tier 2</t>
        </is>
      </c>
      <c r="D309" t="inlineStr">
        <is>
          <t>Setterwalls</t>
        </is>
      </c>
      <c r="E309" t="inlineStr">
        <is>
          <t>Setterwalls</t>
        </is>
      </c>
    </row>
    <row r="310">
      <c r="A310" t="inlineStr">
        <is>
          <t>Employment</t>
        </is>
      </c>
      <c r="B310" t="inlineStr">
        <is>
          <t>Legal 500</t>
        </is>
      </c>
      <c r="C310" t="inlineStr">
        <is>
          <t>Tier 2</t>
        </is>
      </c>
      <c r="D310" t="inlineStr">
        <is>
          <t>TM &amp; Partners</t>
        </is>
      </c>
      <c r="E310" t="inlineStr">
        <is>
          <t>TM &amp; Partners</t>
        </is>
      </c>
    </row>
    <row r="311">
      <c r="A311" t="inlineStr">
        <is>
          <t>Employment</t>
        </is>
      </c>
      <c r="B311" t="inlineStr">
        <is>
          <t>Legal 500</t>
        </is>
      </c>
      <c r="C311" t="inlineStr">
        <is>
          <t>Tier 2</t>
        </is>
      </c>
      <c r="D311" t="inlineStr">
        <is>
          <t>Elmzell</t>
        </is>
      </c>
      <c r="E311" t="inlineStr">
        <is>
          <t>Elmzell Advokatbyrå AB, member of Ius Laboris</t>
        </is>
      </c>
    </row>
    <row r="312">
      <c r="A312" t="inlineStr">
        <is>
          <t>Employment</t>
        </is>
      </c>
      <c r="B312" t="inlineStr">
        <is>
          <t>Legal 500</t>
        </is>
      </c>
      <c r="C312" t="inlineStr">
        <is>
          <t>Tier 3</t>
        </is>
      </c>
      <c r="D312" t="inlineStr">
        <is>
          <t>Bird &amp; Bird</t>
        </is>
      </c>
      <c r="E312" t="inlineStr">
        <is>
          <t>Bird &amp; Bird</t>
        </is>
      </c>
    </row>
    <row r="313">
      <c r="A313" t="inlineStr">
        <is>
          <t>Employment</t>
        </is>
      </c>
      <c r="B313" t="inlineStr">
        <is>
          <t>Legal 500</t>
        </is>
      </c>
      <c r="C313" t="inlineStr">
        <is>
          <t>Tier 3</t>
        </is>
      </c>
      <c r="D313" t="inlineStr">
        <is>
          <t>CMS Wistrand</t>
        </is>
      </c>
      <c r="E313" t="inlineStr">
        <is>
          <t>CMS Wistrand</t>
        </is>
      </c>
    </row>
    <row r="314">
      <c r="A314" t="inlineStr">
        <is>
          <t>Employment</t>
        </is>
      </c>
      <c r="B314" t="inlineStr">
        <is>
          <t>Legal 500</t>
        </is>
      </c>
      <c r="C314" t="inlineStr">
        <is>
          <t>Tier 3</t>
        </is>
      </c>
      <c r="D314" t="inlineStr">
        <is>
          <t>Eversheds Sutherland</t>
        </is>
      </c>
      <c r="E314" t="inlineStr">
        <is>
          <t>Eversheds Sutherland</t>
        </is>
      </c>
    </row>
    <row r="315">
      <c r="A315" t="inlineStr">
        <is>
          <t>Employment</t>
        </is>
      </c>
      <c r="B315" t="inlineStr">
        <is>
          <t>Legal 500</t>
        </is>
      </c>
      <c r="C315" t="inlineStr">
        <is>
          <t>Tier 3</t>
        </is>
      </c>
      <c r="D315" t="inlineStr">
        <is>
          <t>Hammarskiöld</t>
        </is>
      </c>
      <c r="E315" t="inlineStr">
        <is>
          <t>Hammarskiöld</t>
        </is>
      </c>
    </row>
    <row r="316">
      <c r="A316" t="inlineStr">
        <is>
          <t>Employment</t>
        </is>
      </c>
      <c r="B316" t="inlineStr">
        <is>
          <t>Legal 500</t>
        </is>
      </c>
      <c r="C316" t="inlineStr">
        <is>
          <t>Tier 3</t>
        </is>
      </c>
      <c r="D316" t="inlineStr">
        <is>
          <t>Hellström</t>
        </is>
      </c>
      <c r="E316" t="inlineStr">
        <is>
          <t>Hellström Law</t>
        </is>
      </c>
    </row>
    <row r="317">
      <c r="A317" t="inlineStr">
        <is>
          <t>Employment</t>
        </is>
      </c>
      <c r="B317" t="inlineStr">
        <is>
          <t>Legal 500</t>
        </is>
      </c>
      <c r="C317" t="inlineStr">
        <is>
          <t>Tier 3</t>
        </is>
      </c>
      <c r="D317" t="inlineStr">
        <is>
          <t>Magnusson</t>
        </is>
      </c>
      <c r="E317" t="inlineStr">
        <is>
          <t>Magnusson</t>
        </is>
      </c>
    </row>
    <row r="318">
      <c r="A318" t="inlineStr">
        <is>
          <t>Employment</t>
        </is>
      </c>
      <c r="B318" t="inlineStr">
        <is>
          <t>Legal 500</t>
        </is>
      </c>
      <c r="C318" t="inlineStr">
        <is>
          <t>Tier 3</t>
        </is>
      </c>
      <c r="D318" t="inlineStr">
        <is>
          <t>MAQS</t>
        </is>
      </c>
      <c r="E318" t="inlineStr">
        <is>
          <t>MAQS Advokatbyrå</t>
        </is>
      </c>
    </row>
    <row r="319">
      <c r="A319" t="inlineStr">
        <is>
          <t>Employment</t>
        </is>
      </c>
      <c r="B319" t="inlineStr">
        <is>
          <t>Legal 500</t>
        </is>
      </c>
      <c r="C319" t="inlineStr">
        <is>
          <t>Tier 3</t>
        </is>
      </c>
      <c r="D319" t="inlineStr">
        <is>
          <t>edpLaw</t>
        </is>
      </c>
      <c r="E319" t="inlineStr">
        <is>
          <t>edpLaw</t>
        </is>
      </c>
    </row>
    <row r="320">
      <c r="A320" t="inlineStr">
        <is>
          <t>Employment</t>
        </is>
      </c>
      <c r="B320" t="inlineStr">
        <is>
          <t>Legal 500</t>
        </is>
      </c>
      <c r="C320" t="inlineStr">
        <is>
          <t>Tier 3</t>
        </is>
      </c>
      <c r="D320" t="inlineStr">
        <is>
          <t>Forssander Sonander Advokat</t>
        </is>
      </c>
      <c r="E320" t="inlineStr">
        <is>
          <t>Forssander Sonander Advokat</t>
        </is>
      </c>
    </row>
    <row r="321">
      <c r="A321" t="inlineStr">
        <is>
          <t>Employment</t>
        </is>
      </c>
      <c r="B321" t="inlineStr">
        <is>
          <t>Legal 500</t>
        </is>
      </c>
      <c r="C321" t="inlineStr">
        <is>
          <t>Tier 4</t>
        </is>
      </c>
      <c r="D321" t="inlineStr">
        <is>
          <t>Delphi</t>
        </is>
      </c>
      <c r="E321" t="inlineStr">
        <is>
          <t>Advokatfirman Delphi</t>
        </is>
      </c>
    </row>
    <row r="322">
      <c r="A322" t="inlineStr">
        <is>
          <t>Employment</t>
        </is>
      </c>
      <c r="B322" t="inlineStr">
        <is>
          <t>Legal 500</t>
        </is>
      </c>
      <c r="C322" t="inlineStr">
        <is>
          <t>Tier 4</t>
        </is>
      </c>
      <c r="D322" t="inlineStr">
        <is>
          <t>Gernandt &amp; Danielsson</t>
        </is>
      </c>
      <c r="E322" t="inlineStr">
        <is>
          <t>Gernandt &amp; Danielsson Advokatbyrå</t>
        </is>
      </c>
    </row>
    <row r="323">
      <c r="A323" t="inlineStr">
        <is>
          <t>Employment</t>
        </is>
      </c>
      <c r="B323" t="inlineStr">
        <is>
          <t>Legal 500</t>
        </is>
      </c>
      <c r="C323" t="inlineStr">
        <is>
          <t>Tier 4</t>
        </is>
      </c>
      <c r="D323" t="inlineStr">
        <is>
          <t>Snellman</t>
        </is>
      </c>
      <c r="E323" t="inlineStr">
        <is>
          <t>Snellman</t>
        </is>
      </c>
    </row>
    <row r="324">
      <c r="A324" t="inlineStr">
        <is>
          <t>Employment</t>
        </is>
      </c>
      <c r="B324" t="inlineStr">
        <is>
          <t>Legal 500</t>
        </is>
      </c>
      <c r="C324" t="inlineStr">
        <is>
          <t>Tier 4</t>
        </is>
      </c>
      <c r="D324" t="inlineStr">
        <is>
          <t>Ernst &amp; Young AB</t>
        </is>
      </c>
      <c r="E324" t="inlineStr">
        <is>
          <t>Ernst &amp; Young AB</t>
        </is>
      </c>
    </row>
    <row r="325">
      <c r="A325" t="inlineStr">
        <is>
          <t>Employment</t>
        </is>
      </c>
      <c r="B325" t="inlineStr">
        <is>
          <t>Legal 500</t>
        </is>
      </c>
      <c r="C325" t="inlineStr">
        <is>
          <t>Tier 4</t>
        </is>
      </c>
      <c r="D325" t="inlineStr">
        <is>
          <t>Next Law</t>
        </is>
      </c>
      <c r="E325" t="inlineStr">
        <is>
          <t>Next Law KB</t>
        </is>
      </c>
    </row>
    <row r="326">
      <c r="A326" t="inlineStr">
        <is>
          <t>Employment</t>
        </is>
      </c>
      <c r="B326" t="inlineStr">
        <is>
          <t>Legal 500</t>
        </is>
      </c>
      <c r="C326" t="inlineStr">
        <is>
          <t>Firms to watch</t>
        </is>
      </c>
      <c r="D326" t="inlineStr">
        <is>
          <t>Schjødt</t>
        </is>
      </c>
      <c r="E326" t="inlineStr">
        <is>
          <t>Advokatfirman Schjødt</t>
        </is>
      </c>
    </row>
    <row r="327">
      <c r="A327" t="inlineStr">
        <is>
          <t>Employment</t>
        </is>
      </c>
      <c r="B327" t="inlineStr">
        <is>
          <t>Legal 500</t>
        </is>
      </c>
      <c r="C327" t="inlineStr">
        <is>
          <t>Firms to watch</t>
        </is>
      </c>
      <c r="D327" t="inlineStr">
        <is>
          <t>Cirio</t>
        </is>
      </c>
      <c r="E327" t="inlineStr">
        <is>
          <t>Cirio Advokatbyrå AB</t>
        </is>
      </c>
    </row>
    <row r="328">
      <c r="A328" t="inlineStr">
        <is>
          <t>Tax</t>
        </is>
      </c>
      <c r="B328" t="inlineStr">
        <is>
          <t>Chambers</t>
        </is>
      </c>
      <c r="C328" t="inlineStr">
        <is>
          <t>Band 1</t>
        </is>
      </c>
      <c r="D328" t="inlineStr">
        <is>
          <t>Vinge</t>
        </is>
      </c>
      <c r="E328" t="inlineStr">
        <is>
          <t>Advokatfirman Vinge KB</t>
        </is>
      </c>
    </row>
    <row r="329">
      <c r="A329" t="inlineStr">
        <is>
          <t>Tax</t>
        </is>
      </c>
      <c r="B329" t="inlineStr">
        <is>
          <t>Chambers</t>
        </is>
      </c>
      <c r="C329" t="inlineStr">
        <is>
          <t>Band 1</t>
        </is>
      </c>
      <c r="D329" t="inlineStr">
        <is>
          <t>Mannheimer Swartling</t>
        </is>
      </c>
      <c r="E329" t="inlineStr">
        <is>
          <t>Mannheimer Swartling</t>
        </is>
      </c>
    </row>
    <row r="330">
      <c r="A330" t="inlineStr">
        <is>
          <t>Tax</t>
        </is>
      </c>
      <c r="B330" t="inlineStr">
        <is>
          <t>Chambers</t>
        </is>
      </c>
      <c r="C330" t="inlineStr">
        <is>
          <t>Band 2</t>
        </is>
      </c>
      <c r="D330" t="inlineStr">
        <is>
          <t>CMS Wistrand</t>
        </is>
      </c>
      <c r="E330" t="inlineStr">
        <is>
          <t>CMS Wistrand</t>
        </is>
      </c>
    </row>
    <row r="331">
      <c r="A331" t="inlineStr">
        <is>
          <t>Tax</t>
        </is>
      </c>
      <c r="B331" t="inlineStr">
        <is>
          <t>Chambers</t>
        </is>
      </c>
      <c r="C331" t="inlineStr">
        <is>
          <t>Band 2</t>
        </is>
      </c>
      <c r="D331" t="inlineStr">
        <is>
          <t>Setterwalls</t>
        </is>
      </c>
      <c r="E331" t="inlineStr">
        <is>
          <t>Setterwalls</t>
        </is>
      </c>
    </row>
    <row r="332">
      <c r="A332" t="inlineStr">
        <is>
          <t>Tax</t>
        </is>
      </c>
      <c r="B332" t="inlineStr">
        <is>
          <t>Chambers</t>
        </is>
      </c>
      <c r="C332" t="inlineStr">
        <is>
          <t>Band 3</t>
        </is>
      </c>
      <c r="D332" t="inlineStr">
        <is>
          <t>Schjødt</t>
        </is>
      </c>
      <c r="E332" t="inlineStr">
        <is>
          <t>Advokatfirman Schjødt</t>
        </is>
      </c>
    </row>
    <row r="333">
      <c r="A333" t="inlineStr">
        <is>
          <t>Tax</t>
        </is>
      </c>
      <c r="B333" t="inlineStr">
        <is>
          <t>Chambers</t>
        </is>
      </c>
      <c r="C333" t="inlineStr">
        <is>
          <t>Band 3</t>
        </is>
      </c>
      <c r="D333" t="inlineStr">
        <is>
          <t>Baker McKenzie</t>
        </is>
      </c>
      <c r="E333" t="inlineStr">
        <is>
          <t>Baker McKenzie</t>
        </is>
      </c>
    </row>
    <row r="334">
      <c r="A334" t="inlineStr">
        <is>
          <t>Tax</t>
        </is>
      </c>
      <c r="B334" t="inlineStr">
        <is>
          <t>Chambers</t>
        </is>
      </c>
      <c r="C334" t="inlineStr">
        <is>
          <t>Band 3</t>
        </is>
      </c>
      <c r="D334" t="inlineStr">
        <is>
          <t>Bird &amp; Bird</t>
        </is>
      </c>
      <c r="E334" t="inlineStr">
        <is>
          <t>Bird &amp; Bird</t>
        </is>
      </c>
    </row>
    <row r="335">
      <c r="A335" t="inlineStr">
        <is>
          <t>Tax</t>
        </is>
      </c>
      <c r="B335" t="inlineStr">
        <is>
          <t>Chambers</t>
        </is>
      </c>
      <c r="C335" t="inlineStr">
        <is>
          <t>Band 3</t>
        </is>
      </c>
      <c r="D335" t="inlineStr">
        <is>
          <t>DLA Piper</t>
        </is>
      </c>
      <c r="E335" t="inlineStr">
        <is>
          <t>DLA Piper</t>
        </is>
      </c>
    </row>
    <row r="336">
      <c r="A336" t="inlineStr">
        <is>
          <t>Tax</t>
        </is>
      </c>
      <c r="B336" t="inlineStr">
        <is>
          <t>Legal 500</t>
        </is>
      </c>
      <c r="C336" t="inlineStr">
        <is>
          <t>Tier 1</t>
        </is>
      </c>
      <c r="D336" t="inlineStr">
        <is>
          <t>Mannheimer Swartling</t>
        </is>
      </c>
      <c r="E336" t="inlineStr">
        <is>
          <t>Mannheimer Swartling</t>
        </is>
      </c>
    </row>
    <row r="337">
      <c r="A337" t="inlineStr">
        <is>
          <t>Tax</t>
        </is>
      </c>
      <c r="B337" t="inlineStr">
        <is>
          <t>Legal 500</t>
        </is>
      </c>
      <c r="C337" t="inlineStr">
        <is>
          <t>Tier 1</t>
        </is>
      </c>
      <c r="D337" t="inlineStr">
        <is>
          <t>Vinge</t>
        </is>
      </c>
      <c r="E337" t="inlineStr">
        <is>
          <t>Advokatfirman Vinge KB</t>
        </is>
      </c>
    </row>
    <row r="338">
      <c r="A338" t="inlineStr">
        <is>
          <t>Tax</t>
        </is>
      </c>
      <c r="B338" t="inlineStr">
        <is>
          <t>Legal 500</t>
        </is>
      </c>
      <c r="C338" t="inlineStr">
        <is>
          <t>Tier 2</t>
        </is>
      </c>
      <c r="D338" t="inlineStr">
        <is>
          <t>Bird &amp; Bird</t>
        </is>
      </c>
      <c r="E338" t="inlineStr">
        <is>
          <t>Bird &amp; Bird</t>
        </is>
      </c>
    </row>
    <row r="339">
      <c r="A339" t="inlineStr">
        <is>
          <t>Tax</t>
        </is>
      </c>
      <c r="B339" t="inlineStr">
        <is>
          <t>Legal 500</t>
        </is>
      </c>
      <c r="C339" t="inlineStr">
        <is>
          <t>Tier 2</t>
        </is>
      </c>
      <c r="D339" t="inlineStr">
        <is>
          <t>CMS Wistrand</t>
        </is>
      </c>
      <c r="E339" t="inlineStr">
        <is>
          <t>CMS Wistrand</t>
        </is>
      </c>
    </row>
    <row r="340">
      <c r="A340" t="inlineStr">
        <is>
          <t>Tax</t>
        </is>
      </c>
      <c r="B340" t="inlineStr">
        <is>
          <t>Legal 500</t>
        </is>
      </c>
      <c r="C340" t="inlineStr">
        <is>
          <t>Tier 2</t>
        </is>
      </c>
      <c r="D340" t="inlineStr">
        <is>
          <t>DLA Piper</t>
        </is>
      </c>
      <c r="E340" t="inlineStr">
        <is>
          <t>DLA Piper Sweden</t>
        </is>
      </c>
    </row>
    <row r="341">
      <c r="A341" t="inlineStr">
        <is>
          <t>Tax</t>
        </is>
      </c>
      <c r="B341" t="inlineStr">
        <is>
          <t>Legal 500</t>
        </is>
      </c>
      <c r="C341" t="inlineStr">
        <is>
          <t>Tier 2</t>
        </is>
      </c>
      <c r="D341" t="inlineStr">
        <is>
          <t>Lindahl</t>
        </is>
      </c>
      <c r="E341" t="inlineStr">
        <is>
          <t>Advokatfirman Lindahl KB</t>
        </is>
      </c>
    </row>
    <row r="342">
      <c r="A342" t="inlineStr">
        <is>
          <t>Tax</t>
        </is>
      </c>
      <c r="B342" t="inlineStr">
        <is>
          <t>Legal 500</t>
        </is>
      </c>
      <c r="C342" t="inlineStr">
        <is>
          <t>Tier 2</t>
        </is>
      </c>
      <c r="D342" t="inlineStr">
        <is>
          <t>Schjødt</t>
        </is>
      </c>
      <c r="E342" t="inlineStr">
        <is>
          <t>Advokatfirman Schjødt</t>
        </is>
      </c>
    </row>
    <row r="343">
      <c r="A343" t="inlineStr">
        <is>
          <t>Tax</t>
        </is>
      </c>
      <c r="B343" t="inlineStr">
        <is>
          <t>Legal 500</t>
        </is>
      </c>
      <c r="C343" t="inlineStr">
        <is>
          <t>Tier 2</t>
        </is>
      </c>
      <c r="D343" t="inlineStr">
        <is>
          <t>Setterwalls</t>
        </is>
      </c>
      <c r="E343" t="inlineStr">
        <is>
          <t>Setterwalls</t>
        </is>
      </c>
    </row>
    <row r="344">
      <c r="A344" t="inlineStr">
        <is>
          <t>Tax</t>
        </is>
      </c>
      <c r="B344" t="inlineStr">
        <is>
          <t>Legal 500</t>
        </is>
      </c>
      <c r="C344" t="inlineStr">
        <is>
          <t>Tier 3</t>
        </is>
      </c>
      <c r="D344" t="inlineStr">
        <is>
          <t>Baker McKenzie</t>
        </is>
      </c>
      <c r="E344" t="inlineStr">
        <is>
          <t>Baker McKenzie</t>
        </is>
      </c>
    </row>
    <row r="345">
      <c r="A345" t="inlineStr">
        <is>
          <t>Real estate</t>
        </is>
      </c>
      <c r="B345" t="inlineStr">
        <is>
          <t>Chambers</t>
        </is>
      </c>
      <c r="C345" t="inlineStr">
        <is>
          <t>Band 1</t>
        </is>
      </c>
      <c r="D345" t="inlineStr">
        <is>
          <t>Mannheimer Swartling</t>
        </is>
      </c>
      <c r="E345" t="inlineStr">
        <is>
          <t>Mannheimer Swartling</t>
        </is>
      </c>
    </row>
    <row r="346">
      <c r="A346" t="inlineStr">
        <is>
          <t>Real estate</t>
        </is>
      </c>
      <c r="B346" t="inlineStr">
        <is>
          <t>Chambers</t>
        </is>
      </c>
      <c r="C346" t="inlineStr">
        <is>
          <t>Band 1</t>
        </is>
      </c>
      <c r="D346" t="inlineStr">
        <is>
          <t>Roschier</t>
        </is>
      </c>
      <c r="E346" t="inlineStr">
        <is>
          <t>Roschier</t>
        </is>
      </c>
    </row>
    <row r="347">
      <c r="A347" t="inlineStr">
        <is>
          <t>Real estate</t>
        </is>
      </c>
      <c r="B347" t="inlineStr">
        <is>
          <t>Chambers</t>
        </is>
      </c>
      <c r="C347" t="inlineStr">
        <is>
          <t>Band 1</t>
        </is>
      </c>
      <c r="D347" t="inlineStr">
        <is>
          <t>Wigge &amp; Partners</t>
        </is>
      </c>
      <c r="E347" t="inlineStr">
        <is>
          <t>Wigge</t>
        </is>
      </c>
    </row>
    <row r="348">
      <c r="A348" t="inlineStr">
        <is>
          <t>Real estate</t>
        </is>
      </c>
      <c r="B348" t="inlineStr">
        <is>
          <t>Chambers</t>
        </is>
      </c>
      <c r="C348" t="inlineStr">
        <is>
          <t>Band 2</t>
        </is>
      </c>
      <c r="D348" t="inlineStr">
        <is>
          <t>CMS Wistrand</t>
        </is>
      </c>
      <c r="E348" t="inlineStr">
        <is>
          <t>CMS Wistrand</t>
        </is>
      </c>
    </row>
    <row r="349">
      <c r="A349" t="inlineStr">
        <is>
          <t>Real estate</t>
        </is>
      </c>
      <c r="B349" t="inlineStr">
        <is>
          <t>Chambers</t>
        </is>
      </c>
      <c r="C349" t="inlineStr">
        <is>
          <t>Band 2</t>
        </is>
      </c>
      <c r="D349" t="inlineStr">
        <is>
          <t>Setterwalls</t>
        </is>
      </c>
      <c r="E349" t="inlineStr">
        <is>
          <t>Setterwalls</t>
        </is>
      </c>
    </row>
    <row r="350">
      <c r="A350" t="inlineStr">
        <is>
          <t>Real estate</t>
        </is>
      </c>
      <c r="B350" t="inlineStr">
        <is>
          <t>Chambers</t>
        </is>
      </c>
      <c r="C350" t="inlineStr">
        <is>
          <t>Band 3</t>
        </is>
      </c>
      <c r="D350" t="inlineStr">
        <is>
          <t>Vinge</t>
        </is>
      </c>
      <c r="E350" t="inlineStr">
        <is>
          <t>Advokatfirman Vinge KB</t>
        </is>
      </c>
    </row>
    <row r="351">
      <c r="A351" t="inlineStr">
        <is>
          <t>Real estate</t>
        </is>
      </c>
      <c r="B351" t="inlineStr">
        <is>
          <t>Chambers</t>
        </is>
      </c>
      <c r="C351" t="inlineStr">
        <is>
          <t>Band 3</t>
        </is>
      </c>
      <c r="D351" t="inlineStr">
        <is>
          <t>Born</t>
        </is>
      </c>
      <c r="E351" t="inlineStr">
        <is>
          <t>Born</t>
        </is>
      </c>
    </row>
    <row r="352">
      <c r="A352" t="inlineStr">
        <is>
          <t>Real estate</t>
        </is>
      </c>
      <c r="B352" t="inlineStr">
        <is>
          <t>Chambers</t>
        </is>
      </c>
      <c r="C352" t="inlineStr">
        <is>
          <t>Band 3</t>
        </is>
      </c>
      <c r="D352" t="inlineStr">
        <is>
          <t>Brick</t>
        </is>
      </c>
      <c r="E352" t="inlineStr">
        <is>
          <t>Brick Advokat</t>
        </is>
      </c>
    </row>
    <row r="353">
      <c r="A353" t="inlineStr">
        <is>
          <t>Real estate</t>
        </is>
      </c>
      <c r="B353" t="inlineStr">
        <is>
          <t>Chambers</t>
        </is>
      </c>
      <c r="C353" t="inlineStr">
        <is>
          <t>Band 3</t>
        </is>
      </c>
      <c r="D353" t="inlineStr">
        <is>
          <t>DLA Piper</t>
        </is>
      </c>
      <c r="E353" t="inlineStr">
        <is>
          <t>DLA Piper</t>
        </is>
      </c>
    </row>
    <row r="354">
      <c r="A354" t="inlineStr">
        <is>
          <t>Real estate</t>
        </is>
      </c>
      <c r="B354" t="inlineStr">
        <is>
          <t>Chambers</t>
        </is>
      </c>
      <c r="C354" t="inlineStr">
        <is>
          <t>Band 3</t>
        </is>
      </c>
      <c r="D354" t="inlineStr">
        <is>
          <t>Gernandt &amp; Danielsson</t>
        </is>
      </c>
      <c r="E354" t="inlineStr">
        <is>
          <t>Gernandt &amp; Danielsson Advokatbyrå KB</t>
        </is>
      </c>
    </row>
    <row r="355">
      <c r="A355" t="inlineStr">
        <is>
          <t>Real estate</t>
        </is>
      </c>
      <c r="B355" t="inlineStr">
        <is>
          <t>Chambers</t>
        </is>
      </c>
      <c r="C355" t="inlineStr">
        <is>
          <t>Band 3</t>
        </is>
      </c>
      <c r="D355" t="inlineStr">
        <is>
          <t>REAL Advokatbyrå</t>
        </is>
      </c>
      <c r="E355" t="inlineStr">
        <is>
          <t>REAL Advokatbyrå</t>
        </is>
      </c>
    </row>
    <row r="356">
      <c r="A356" t="inlineStr">
        <is>
          <t>Real estate</t>
        </is>
      </c>
      <c r="B356" t="inlineStr">
        <is>
          <t>Chambers</t>
        </is>
      </c>
      <c r="C356" t="inlineStr">
        <is>
          <t>Band 3</t>
        </is>
      </c>
      <c r="D356" t="inlineStr">
        <is>
          <t>Kilpatrick Townsend &amp; Stockton Advokat KB</t>
        </is>
      </c>
      <c r="E356" t="inlineStr">
        <is>
          <t>Kilpatrick Townsend &amp; Stockton Advokat KB</t>
        </is>
      </c>
    </row>
    <row r="357">
      <c r="A357" t="inlineStr">
        <is>
          <t>Real estate</t>
        </is>
      </c>
      <c r="B357" t="inlineStr">
        <is>
          <t>Chambers</t>
        </is>
      </c>
      <c r="C357" t="inlineStr">
        <is>
          <t>Band 4</t>
        </is>
      </c>
      <c r="D357" t="inlineStr">
        <is>
          <t>Cederquist</t>
        </is>
      </c>
      <c r="E357" t="inlineStr">
        <is>
          <t>Advokatfirman Cederquist KB</t>
        </is>
      </c>
    </row>
    <row r="358">
      <c r="A358" t="inlineStr">
        <is>
          <t>Real estate</t>
        </is>
      </c>
      <c r="B358" t="inlineStr">
        <is>
          <t>Chambers</t>
        </is>
      </c>
      <c r="C358" t="inlineStr">
        <is>
          <t>Band 4</t>
        </is>
      </c>
      <c r="D358" t="inlineStr">
        <is>
          <t>Lindahl</t>
        </is>
      </c>
      <c r="E358" t="inlineStr">
        <is>
          <t>Advokatfirman Lindahl</t>
        </is>
      </c>
    </row>
    <row r="359">
      <c r="A359" t="inlineStr">
        <is>
          <t>Real estate</t>
        </is>
      </c>
      <c r="B359" t="inlineStr">
        <is>
          <t>Chambers</t>
        </is>
      </c>
      <c r="C359" t="inlineStr">
        <is>
          <t>Band 4</t>
        </is>
      </c>
      <c r="D359" t="inlineStr">
        <is>
          <t>Schjødt</t>
        </is>
      </c>
      <c r="E359" t="inlineStr">
        <is>
          <t>Advokatfirman Schjødt</t>
        </is>
      </c>
    </row>
    <row r="360">
      <c r="A360" t="inlineStr">
        <is>
          <t>Real estate</t>
        </is>
      </c>
      <c r="B360" t="inlineStr">
        <is>
          <t>Chambers</t>
        </is>
      </c>
      <c r="C360" t="inlineStr">
        <is>
          <t>Band 4</t>
        </is>
      </c>
      <c r="D360" t="inlineStr">
        <is>
          <t>Cirio</t>
        </is>
      </c>
      <c r="E360" t="inlineStr">
        <is>
          <t>Cirio Advokatbyrå AB</t>
        </is>
      </c>
    </row>
    <row r="361">
      <c r="A361" t="inlineStr">
        <is>
          <t>Real estate</t>
        </is>
      </c>
      <c r="B361" t="inlineStr">
        <is>
          <t>Chambers</t>
        </is>
      </c>
      <c r="C361" t="inlineStr">
        <is>
          <t>Band 4</t>
        </is>
      </c>
      <c r="D361" t="inlineStr">
        <is>
          <t>Edel</t>
        </is>
      </c>
      <c r="E361" t="inlineStr">
        <is>
          <t>Edel Advokater</t>
        </is>
      </c>
    </row>
    <row r="362">
      <c r="A362" t="inlineStr">
        <is>
          <t>Real estate</t>
        </is>
      </c>
      <c r="B362" t="inlineStr">
        <is>
          <t>Chambers</t>
        </is>
      </c>
      <c r="C362" t="inlineStr">
        <is>
          <t>Band 4</t>
        </is>
      </c>
      <c r="D362" t="inlineStr">
        <is>
          <t>Skierfe</t>
        </is>
      </c>
      <c r="E362" t="inlineStr">
        <is>
          <t>Skierfe Advokatfirma</t>
        </is>
      </c>
    </row>
    <row r="363">
      <c r="A363" t="inlineStr">
        <is>
          <t>Real estate</t>
        </is>
      </c>
      <c r="B363" t="inlineStr">
        <is>
          <t>Chambers</t>
        </is>
      </c>
      <c r="C363" t="inlineStr">
        <is>
          <t>Band 4</t>
        </is>
      </c>
      <c r="D363" t="inlineStr">
        <is>
          <t>TM &amp; Partners</t>
        </is>
      </c>
      <c r="E363" t="inlineStr">
        <is>
          <t>TM &amp; Partners</t>
        </is>
      </c>
    </row>
    <row r="364">
      <c r="A364" t="inlineStr">
        <is>
          <t>Real estate</t>
        </is>
      </c>
      <c r="B364" t="inlineStr">
        <is>
          <t>Chambers</t>
        </is>
      </c>
      <c r="C364" t="inlineStr">
        <is>
          <t>Band 4</t>
        </is>
      </c>
      <c r="D364" t="inlineStr">
        <is>
          <t>AG Advokat</t>
        </is>
      </c>
      <c r="E364" t="inlineStr">
        <is>
          <t>AG Advokat</t>
        </is>
      </c>
    </row>
    <row r="365">
      <c r="A365" t="inlineStr">
        <is>
          <t>Real estate</t>
        </is>
      </c>
      <c r="B365" t="inlineStr">
        <is>
          <t>Legal 500</t>
        </is>
      </c>
      <c r="C365" t="inlineStr">
        <is>
          <t>Tier 1</t>
        </is>
      </c>
      <c r="D365" t="inlineStr">
        <is>
          <t>AG Advokat</t>
        </is>
      </c>
      <c r="E365" t="inlineStr">
        <is>
          <t>AG Advokat</t>
        </is>
      </c>
    </row>
    <row r="366">
      <c r="A366" t="inlineStr">
        <is>
          <t>Real estate</t>
        </is>
      </c>
      <c r="B366" t="inlineStr">
        <is>
          <t>Legal 500</t>
        </is>
      </c>
      <c r="C366" t="inlineStr">
        <is>
          <t>Tier 1</t>
        </is>
      </c>
      <c r="D366" t="inlineStr">
        <is>
          <t>Cirio</t>
        </is>
      </c>
      <c r="E366" t="inlineStr">
        <is>
          <t>Cirio Advokatbyrå AB</t>
        </is>
      </c>
    </row>
    <row r="367">
      <c r="A367" t="inlineStr">
        <is>
          <t>Real estate</t>
        </is>
      </c>
      <c r="B367" t="inlineStr">
        <is>
          <t>Legal 500</t>
        </is>
      </c>
      <c r="C367" t="inlineStr">
        <is>
          <t>Tier 1</t>
        </is>
      </c>
      <c r="D367" t="inlineStr">
        <is>
          <t>Lindahl</t>
        </is>
      </c>
      <c r="E367" t="inlineStr">
        <is>
          <t>Advokatfirman Lindahl KB</t>
        </is>
      </c>
    </row>
    <row r="368">
      <c r="A368" t="inlineStr">
        <is>
          <t>Real estate</t>
        </is>
      </c>
      <c r="B368" t="inlineStr">
        <is>
          <t>Legal 500</t>
        </is>
      </c>
      <c r="C368" t="inlineStr">
        <is>
          <t>Tier 1</t>
        </is>
      </c>
      <c r="D368" t="inlineStr">
        <is>
          <t>Mannheimer Swartling</t>
        </is>
      </c>
      <c r="E368" t="inlineStr">
        <is>
          <t>Mannheimer Swartling</t>
        </is>
      </c>
    </row>
    <row r="369">
      <c r="A369" t="inlineStr">
        <is>
          <t>Real estate</t>
        </is>
      </c>
      <c r="B369" t="inlineStr">
        <is>
          <t>Legal 500</t>
        </is>
      </c>
      <c r="C369" t="inlineStr">
        <is>
          <t>Tier 1</t>
        </is>
      </c>
      <c r="D369" t="inlineStr">
        <is>
          <t>Roschier</t>
        </is>
      </c>
      <c r="E369" t="inlineStr">
        <is>
          <t>Roschier</t>
        </is>
      </c>
    </row>
    <row r="370">
      <c r="A370" t="inlineStr">
        <is>
          <t>Real estate</t>
        </is>
      </c>
      <c r="B370" t="inlineStr">
        <is>
          <t>Legal 500</t>
        </is>
      </c>
      <c r="C370" t="inlineStr">
        <is>
          <t>Tier 1</t>
        </is>
      </c>
      <c r="D370" t="inlineStr">
        <is>
          <t>Setterwalls</t>
        </is>
      </c>
      <c r="E370" t="inlineStr">
        <is>
          <t>Setterwalls</t>
        </is>
      </c>
    </row>
    <row r="371">
      <c r="A371" t="inlineStr">
        <is>
          <t>Real estate</t>
        </is>
      </c>
      <c r="B371" t="inlineStr">
        <is>
          <t>Legal 500</t>
        </is>
      </c>
      <c r="C371" t="inlineStr">
        <is>
          <t>Tier 2</t>
        </is>
      </c>
      <c r="D371" t="inlineStr">
        <is>
          <t>Brick</t>
        </is>
      </c>
      <c r="E371" t="inlineStr">
        <is>
          <t>Brick Advokat AB</t>
        </is>
      </c>
    </row>
    <row r="372">
      <c r="A372" t="inlineStr">
        <is>
          <t>Real estate</t>
        </is>
      </c>
      <c r="B372" t="inlineStr">
        <is>
          <t>Legal 500</t>
        </is>
      </c>
      <c r="C372" t="inlineStr">
        <is>
          <t>Tier 2</t>
        </is>
      </c>
      <c r="D372" t="inlineStr">
        <is>
          <t>CMS Wistrand</t>
        </is>
      </c>
      <c r="E372" t="inlineStr">
        <is>
          <t>CMS Wistrand</t>
        </is>
      </c>
    </row>
    <row r="373">
      <c r="A373" t="inlineStr">
        <is>
          <t>Real estate</t>
        </is>
      </c>
      <c r="B373" t="inlineStr">
        <is>
          <t>Legal 500</t>
        </is>
      </c>
      <c r="C373" t="inlineStr">
        <is>
          <t>Tier 2</t>
        </is>
      </c>
      <c r="D373" t="inlineStr">
        <is>
          <t>DLA Piper</t>
        </is>
      </c>
      <c r="E373" t="inlineStr">
        <is>
          <t>DLA Piper Sweden</t>
        </is>
      </c>
    </row>
    <row r="374">
      <c r="A374" t="inlineStr">
        <is>
          <t>Real estate</t>
        </is>
      </c>
      <c r="B374" t="inlineStr">
        <is>
          <t>Legal 500</t>
        </is>
      </c>
      <c r="C374" t="inlineStr">
        <is>
          <t>Tier 2</t>
        </is>
      </c>
      <c r="D374" t="inlineStr">
        <is>
          <t>Kilpatrick Townsend &amp; Stockton Advokat KB</t>
        </is>
      </c>
      <c r="E374" t="inlineStr">
        <is>
          <t>Kilpatrick Townsend &amp; Stockton Advokat KB</t>
        </is>
      </c>
    </row>
    <row r="375">
      <c r="A375" t="inlineStr">
        <is>
          <t>Real estate</t>
        </is>
      </c>
      <c r="B375" t="inlineStr">
        <is>
          <t>Legal 500</t>
        </is>
      </c>
      <c r="C375" t="inlineStr">
        <is>
          <t>Tier 2</t>
        </is>
      </c>
      <c r="D375" t="inlineStr">
        <is>
          <t>REAL Advokatbyrå</t>
        </is>
      </c>
      <c r="E375" t="inlineStr">
        <is>
          <t>Real Advokatbyrå Aktiebolag</t>
        </is>
      </c>
    </row>
    <row r="376">
      <c r="A376" t="inlineStr">
        <is>
          <t>Real estate</t>
        </is>
      </c>
      <c r="B376" t="inlineStr">
        <is>
          <t>Legal 500</t>
        </is>
      </c>
      <c r="C376" t="inlineStr">
        <is>
          <t>Tier 2</t>
        </is>
      </c>
      <c r="D376" t="inlineStr">
        <is>
          <t>Vinge</t>
        </is>
      </c>
      <c r="E376" t="inlineStr">
        <is>
          <t>Advokatfirman Vinge KB</t>
        </is>
      </c>
    </row>
    <row r="377">
      <c r="A377" t="inlineStr">
        <is>
          <t>Real estate</t>
        </is>
      </c>
      <c r="B377" t="inlineStr">
        <is>
          <t>Legal 500</t>
        </is>
      </c>
      <c r="C377" t="inlineStr">
        <is>
          <t>Tier 2</t>
        </is>
      </c>
      <c r="D377" t="inlineStr">
        <is>
          <t>Wigge &amp; Partners</t>
        </is>
      </c>
      <c r="E377" t="inlineStr">
        <is>
          <t>Wigge &amp; Partners</t>
        </is>
      </c>
    </row>
    <row r="378">
      <c r="A378" t="inlineStr">
        <is>
          <t>Real estate</t>
        </is>
      </c>
      <c r="B378" t="inlineStr">
        <is>
          <t>Legal 500</t>
        </is>
      </c>
      <c r="C378" t="inlineStr">
        <is>
          <t>Tier 3</t>
        </is>
      </c>
      <c r="D378" t="inlineStr">
        <is>
          <t>Born</t>
        </is>
      </c>
      <c r="E378" t="inlineStr">
        <is>
          <t>Born</t>
        </is>
      </c>
    </row>
    <row r="379">
      <c r="A379" t="inlineStr">
        <is>
          <t>Real estate</t>
        </is>
      </c>
      <c r="B379" t="inlineStr">
        <is>
          <t>Legal 500</t>
        </is>
      </c>
      <c r="C379" t="inlineStr">
        <is>
          <t>Tier 3</t>
        </is>
      </c>
      <c r="D379" t="inlineStr">
        <is>
          <t>Cederquist</t>
        </is>
      </c>
      <c r="E379" t="inlineStr">
        <is>
          <t>Advokatfirman Cederquist KB</t>
        </is>
      </c>
    </row>
    <row r="380">
      <c r="A380" t="inlineStr">
        <is>
          <t>Real estate</t>
        </is>
      </c>
      <c r="B380" t="inlineStr">
        <is>
          <t>Legal 500</t>
        </is>
      </c>
      <c r="C380" t="inlineStr">
        <is>
          <t>Tier 3</t>
        </is>
      </c>
      <c r="D380" t="inlineStr">
        <is>
          <t>Delphi</t>
        </is>
      </c>
      <c r="E380" t="inlineStr">
        <is>
          <t>Advokatfirman Delphi</t>
        </is>
      </c>
    </row>
    <row r="381">
      <c r="A381" t="inlineStr">
        <is>
          <t>Real estate</t>
        </is>
      </c>
      <c r="B381" t="inlineStr">
        <is>
          <t>Legal 500</t>
        </is>
      </c>
      <c r="C381" t="inlineStr">
        <is>
          <t>Tier 3</t>
        </is>
      </c>
      <c r="D381" t="inlineStr">
        <is>
          <t>Eversheds Sutherland</t>
        </is>
      </c>
      <c r="E381" t="inlineStr">
        <is>
          <t>Eversheds Sutherland</t>
        </is>
      </c>
    </row>
    <row r="382">
      <c r="A382" t="inlineStr">
        <is>
          <t>Real estate</t>
        </is>
      </c>
      <c r="B382" t="inlineStr">
        <is>
          <t>Legal 500</t>
        </is>
      </c>
      <c r="C382" t="inlineStr">
        <is>
          <t>Tier 3</t>
        </is>
      </c>
      <c r="D382" t="inlineStr">
        <is>
          <t>Foyen</t>
        </is>
      </c>
      <c r="E382" t="inlineStr">
        <is>
          <t>Foyen Advokatfirma</t>
        </is>
      </c>
    </row>
    <row r="383">
      <c r="A383" t="inlineStr">
        <is>
          <t>Real estate</t>
        </is>
      </c>
      <c r="B383" t="inlineStr">
        <is>
          <t>Legal 500</t>
        </is>
      </c>
      <c r="C383" t="inlineStr">
        <is>
          <t>Tier 3</t>
        </is>
      </c>
      <c r="D383" t="inlineStr">
        <is>
          <t>Gernandt &amp; Danielsson</t>
        </is>
      </c>
      <c r="E383" t="inlineStr">
        <is>
          <t>Gernandt &amp; Danielsson Advokatbyrå</t>
        </is>
      </c>
    </row>
    <row r="384">
      <c r="A384" t="inlineStr">
        <is>
          <t>Real estate</t>
        </is>
      </c>
      <c r="B384" t="inlineStr">
        <is>
          <t>Legal 500</t>
        </is>
      </c>
      <c r="C384" t="inlineStr">
        <is>
          <t>Tier 3</t>
        </is>
      </c>
      <c r="D384" t="inlineStr">
        <is>
          <t>Schjødt</t>
        </is>
      </c>
      <c r="E384" t="inlineStr">
        <is>
          <t>Advokatfirman Schjødt</t>
        </is>
      </c>
    </row>
    <row r="385">
      <c r="A385" t="inlineStr">
        <is>
          <t>Real estate</t>
        </is>
      </c>
      <c r="B385" t="inlineStr">
        <is>
          <t>Legal 500</t>
        </is>
      </c>
      <c r="C385" t="inlineStr">
        <is>
          <t>Tier 3</t>
        </is>
      </c>
      <c r="D385" t="inlineStr">
        <is>
          <t>Skierfe</t>
        </is>
      </c>
      <c r="E385" t="inlineStr">
        <is>
          <t>Skierfe Advokatfirma KB</t>
        </is>
      </c>
    </row>
    <row r="386">
      <c r="A386" t="inlineStr">
        <is>
          <t>Real estate</t>
        </is>
      </c>
      <c r="B386" t="inlineStr">
        <is>
          <t>Legal 500</t>
        </is>
      </c>
      <c r="C386" t="inlineStr">
        <is>
          <t>Tier 3</t>
        </is>
      </c>
      <c r="D386" t="inlineStr">
        <is>
          <t>Snellman</t>
        </is>
      </c>
      <c r="E386" t="inlineStr">
        <is>
          <t>Snellman</t>
        </is>
      </c>
    </row>
    <row r="387">
      <c r="A387" t="inlineStr">
        <is>
          <t>Real estate</t>
        </is>
      </c>
      <c r="B387" t="inlineStr">
        <is>
          <t>Legal 500</t>
        </is>
      </c>
      <c r="C387" t="inlineStr">
        <is>
          <t>Tier 3</t>
        </is>
      </c>
      <c r="D387" t="inlineStr">
        <is>
          <t>TM &amp; Partners</t>
        </is>
      </c>
      <c r="E387" t="inlineStr">
        <is>
          <t>TM &amp; Partners</t>
        </is>
      </c>
    </row>
    <row r="388">
      <c r="A388" t="inlineStr">
        <is>
          <t>Real estate</t>
        </is>
      </c>
      <c r="B388" t="inlineStr">
        <is>
          <t>Legal 500</t>
        </is>
      </c>
      <c r="C388" t="inlineStr">
        <is>
          <t>Tier 4</t>
        </is>
      </c>
      <c r="D388" t="inlineStr">
        <is>
          <t>Allié</t>
        </is>
      </c>
      <c r="E388" t="inlineStr">
        <is>
          <t>Allié</t>
        </is>
      </c>
    </row>
    <row r="389">
      <c r="A389" t="inlineStr">
        <is>
          <t>Real estate</t>
        </is>
      </c>
      <c r="B389" t="inlineStr">
        <is>
          <t>Legal 500</t>
        </is>
      </c>
      <c r="C389" t="inlineStr">
        <is>
          <t>Tier 4</t>
        </is>
      </c>
      <c r="D389" t="inlineStr">
        <is>
          <t>Magnusson</t>
        </is>
      </c>
      <c r="E389" t="inlineStr">
        <is>
          <t>Magnusson</t>
        </is>
      </c>
    </row>
    <row r="390">
      <c r="A390" t="inlineStr">
        <is>
          <t>Real estate</t>
        </is>
      </c>
      <c r="B390" t="inlineStr">
        <is>
          <t>Legal 500</t>
        </is>
      </c>
      <c r="C390" t="inlineStr">
        <is>
          <t>Tier 4</t>
        </is>
      </c>
      <c r="D390" t="inlineStr">
        <is>
          <t>MAQS</t>
        </is>
      </c>
      <c r="E390" t="inlineStr">
        <is>
          <t>MAQS Advokatbyrå</t>
        </is>
      </c>
    </row>
    <row r="391">
      <c r="A391" t="inlineStr">
        <is>
          <t>Real estate</t>
        </is>
      </c>
      <c r="B391" t="inlineStr">
        <is>
          <t>Legal 500</t>
        </is>
      </c>
      <c r="C391" t="inlineStr">
        <is>
          <t>Tier 4</t>
        </is>
      </c>
      <c r="D391" t="inlineStr">
        <is>
          <t>Morris Law</t>
        </is>
      </c>
      <c r="E391" t="inlineStr">
        <is>
          <t>Morris Law</t>
        </is>
      </c>
    </row>
    <row r="392">
      <c r="A392" t="inlineStr">
        <is>
          <t>Real estate</t>
        </is>
      </c>
      <c r="B392" t="inlineStr">
        <is>
          <t>Legal 500</t>
        </is>
      </c>
      <c r="C392" t="inlineStr">
        <is>
          <t>Tier 4</t>
        </is>
      </c>
      <c r="D392" t="inlineStr">
        <is>
          <t>Norma</t>
        </is>
      </c>
      <c r="E392" t="inlineStr">
        <is>
          <t>NORMA Advokater KB</t>
        </is>
      </c>
    </row>
    <row r="393">
      <c r="A393" t="inlineStr">
        <is>
          <t>Construction</t>
        </is>
      </c>
      <c r="B393" t="inlineStr">
        <is>
          <t>Legal 500</t>
        </is>
      </c>
      <c r="C393" t="inlineStr">
        <is>
          <t>Tier 1</t>
        </is>
      </c>
      <c r="D393" t="inlineStr">
        <is>
          <t>Mannheimer Swartling</t>
        </is>
      </c>
      <c r="E393" t="inlineStr">
        <is>
          <t>Mannheimer Swartling</t>
        </is>
      </c>
    </row>
    <row r="394">
      <c r="A394" t="inlineStr">
        <is>
          <t>Construction</t>
        </is>
      </c>
      <c r="B394" t="inlineStr">
        <is>
          <t>Legal 500</t>
        </is>
      </c>
      <c r="C394" t="inlineStr">
        <is>
          <t>Tier 2</t>
        </is>
      </c>
      <c r="D394" t="inlineStr">
        <is>
          <t>AG Advokat</t>
        </is>
      </c>
      <c r="E394" t="inlineStr">
        <is>
          <t>AG Advokat</t>
        </is>
      </c>
    </row>
    <row r="395">
      <c r="A395" t="inlineStr">
        <is>
          <t>Construction</t>
        </is>
      </c>
      <c r="B395" t="inlineStr">
        <is>
          <t>Legal 500</t>
        </is>
      </c>
      <c r="C395" t="inlineStr">
        <is>
          <t>Tier 2</t>
        </is>
      </c>
      <c r="D395" t="inlineStr">
        <is>
          <t>Foyen</t>
        </is>
      </c>
      <c r="E395" t="inlineStr">
        <is>
          <t>Foyen Advokatfirma</t>
        </is>
      </c>
    </row>
    <row r="396">
      <c r="A396" t="inlineStr">
        <is>
          <t>Construction</t>
        </is>
      </c>
      <c r="B396" t="inlineStr">
        <is>
          <t>Legal 500</t>
        </is>
      </c>
      <c r="C396" t="inlineStr">
        <is>
          <t>Tier 2</t>
        </is>
      </c>
      <c r="D396" t="inlineStr">
        <is>
          <t>Kilpatrick Townsend &amp; Stockton Advokat KB</t>
        </is>
      </c>
      <c r="E396" t="inlineStr">
        <is>
          <t>Kilpatrick Townsend &amp; Stockton Advokat KB</t>
        </is>
      </c>
    </row>
    <row r="397">
      <c r="A397" t="inlineStr">
        <is>
          <t>Construction</t>
        </is>
      </c>
      <c r="B397" t="inlineStr">
        <is>
          <t>Legal 500</t>
        </is>
      </c>
      <c r="C397" t="inlineStr">
        <is>
          <t>Tier 2</t>
        </is>
      </c>
      <c r="D397" t="inlineStr">
        <is>
          <t>MAQS</t>
        </is>
      </c>
      <c r="E397" t="inlineStr">
        <is>
          <t>MAQS Advokatbyrå</t>
        </is>
      </c>
    </row>
    <row r="398">
      <c r="A398" t="inlineStr">
        <is>
          <t>Construction</t>
        </is>
      </c>
      <c r="B398" t="inlineStr">
        <is>
          <t>Legal 500</t>
        </is>
      </c>
      <c r="C398" t="inlineStr">
        <is>
          <t>Tier 2</t>
        </is>
      </c>
      <c r="D398" t="inlineStr">
        <is>
          <t>Setterwalls</t>
        </is>
      </c>
      <c r="E398" t="inlineStr">
        <is>
          <t>Setterwalls</t>
        </is>
      </c>
    </row>
    <row r="399">
      <c r="A399" t="inlineStr">
        <is>
          <t>Construction</t>
        </is>
      </c>
      <c r="B399" t="inlineStr">
        <is>
          <t>Legal 500</t>
        </is>
      </c>
      <c r="C399" t="inlineStr">
        <is>
          <t>Tier 2</t>
        </is>
      </c>
      <c r="D399" t="inlineStr">
        <is>
          <t>Vinge</t>
        </is>
      </c>
      <c r="E399" t="inlineStr">
        <is>
          <t>Advokatfirman Vinge KB</t>
        </is>
      </c>
    </row>
    <row r="400">
      <c r="A400" t="inlineStr">
        <is>
          <t>Construction</t>
        </is>
      </c>
      <c r="B400" t="inlineStr">
        <is>
          <t>Legal 500</t>
        </is>
      </c>
      <c r="C400" t="inlineStr">
        <is>
          <t>Tier 3</t>
        </is>
      </c>
      <c r="D400" t="inlineStr">
        <is>
          <t>Brick</t>
        </is>
      </c>
      <c r="E400" t="inlineStr">
        <is>
          <t>Brick Advokat AB</t>
        </is>
      </c>
    </row>
    <row r="401">
      <c r="A401" t="inlineStr">
        <is>
          <t>Construction</t>
        </is>
      </c>
      <c r="B401" t="inlineStr">
        <is>
          <t>Legal 500</t>
        </is>
      </c>
      <c r="C401" t="inlineStr">
        <is>
          <t>Tier 3</t>
        </is>
      </c>
      <c r="D401" t="inlineStr">
        <is>
          <t>Cederquist</t>
        </is>
      </c>
      <c r="E401" t="inlineStr">
        <is>
          <t>Advokatfirman Cederquist KB</t>
        </is>
      </c>
    </row>
    <row r="402">
      <c r="A402" t="inlineStr">
        <is>
          <t>Construction</t>
        </is>
      </c>
      <c r="B402" t="inlineStr">
        <is>
          <t>Legal 500</t>
        </is>
      </c>
      <c r="C402" t="inlineStr">
        <is>
          <t>Tier 3</t>
        </is>
      </c>
      <c r="D402" t="inlineStr">
        <is>
          <t>CMS Wistrand</t>
        </is>
      </c>
      <c r="E402" t="inlineStr">
        <is>
          <t>CMS Wistrand</t>
        </is>
      </c>
    </row>
    <row r="403">
      <c r="A403" t="inlineStr">
        <is>
          <t>Construction</t>
        </is>
      </c>
      <c r="B403" t="inlineStr">
        <is>
          <t>Legal 500</t>
        </is>
      </c>
      <c r="C403" t="inlineStr">
        <is>
          <t>Tier 3</t>
        </is>
      </c>
      <c r="D403" t="inlineStr">
        <is>
          <t>Delphi</t>
        </is>
      </c>
      <c r="E403" t="inlineStr">
        <is>
          <t>Advokatfirman Delphi</t>
        </is>
      </c>
    </row>
    <row r="404">
      <c r="A404" t="inlineStr">
        <is>
          <t>Construction</t>
        </is>
      </c>
      <c r="B404" t="inlineStr">
        <is>
          <t>Legal 500</t>
        </is>
      </c>
      <c r="C404" t="inlineStr">
        <is>
          <t>Tier 3</t>
        </is>
      </c>
      <c r="D404" t="inlineStr">
        <is>
          <t>DLA Piper</t>
        </is>
      </c>
      <c r="E404" t="inlineStr">
        <is>
          <t>DLA Piper Sweden</t>
        </is>
      </c>
    </row>
    <row r="405">
      <c r="A405" t="inlineStr">
        <is>
          <t>Construction</t>
        </is>
      </c>
      <c r="B405" t="inlineStr">
        <is>
          <t>Legal 500</t>
        </is>
      </c>
      <c r="C405" t="inlineStr">
        <is>
          <t>Tier 3</t>
        </is>
      </c>
      <c r="D405" t="inlineStr">
        <is>
          <t>Hellström</t>
        </is>
      </c>
      <c r="E405" t="inlineStr">
        <is>
          <t>Hellström Law</t>
        </is>
      </c>
    </row>
    <row r="406">
      <c r="A406" t="inlineStr">
        <is>
          <t>Construction</t>
        </is>
      </c>
      <c r="B406" t="inlineStr">
        <is>
          <t>Legal 500</t>
        </is>
      </c>
      <c r="C406" t="inlineStr">
        <is>
          <t>Tier 3</t>
        </is>
      </c>
      <c r="D406" t="inlineStr">
        <is>
          <t>Lindahl</t>
        </is>
      </c>
      <c r="E406" t="inlineStr">
        <is>
          <t>Advokatfirman Lindahl KB</t>
        </is>
      </c>
    </row>
    <row r="407">
      <c r="A407" t="inlineStr">
        <is>
          <t>Construction</t>
        </is>
      </c>
      <c r="B407" t="inlineStr">
        <is>
          <t>Legal 500</t>
        </is>
      </c>
      <c r="C407" t="inlineStr">
        <is>
          <t>Tier 3</t>
        </is>
      </c>
      <c r="D407" t="inlineStr">
        <is>
          <t>Magnusson</t>
        </is>
      </c>
      <c r="E407" t="inlineStr">
        <is>
          <t>Magnusson</t>
        </is>
      </c>
    </row>
    <row r="408">
      <c r="A408" t="inlineStr">
        <is>
          <t>Construction</t>
        </is>
      </c>
      <c r="B408" t="inlineStr">
        <is>
          <t>Legal 500</t>
        </is>
      </c>
      <c r="C408" t="inlineStr">
        <is>
          <t>Tier 3</t>
        </is>
      </c>
      <c r="D408" t="inlineStr">
        <is>
          <t>Morris Law</t>
        </is>
      </c>
      <c r="E408" t="inlineStr">
        <is>
          <t>Morris Law</t>
        </is>
      </c>
    </row>
    <row r="409">
      <c r="A409" t="inlineStr">
        <is>
          <t>Construction</t>
        </is>
      </c>
      <c r="B409" t="inlineStr">
        <is>
          <t>Legal 500</t>
        </is>
      </c>
      <c r="C409" t="inlineStr">
        <is>
          <t>Tier 3</t>
        </is>
      </c>
      <c r="D409" t="inlineStr">
        <is>
          <t>White &amp; Case</t>
        </is>
      </c>
      <c r="E409" t="inlineStr">
        <is>
          <t>White &amp; Case Advokat AB</t>
        </is>
      </c>
    </row>
    <row r="410">
      <c r="A410" t="inlineStr">
        <is>
          <t>Construction</t>
        </is>
      </c>
      <c r="B410" t="inlineStr">
        <is>
          <t>Legal 500</t>
        </is>
      </c>
      <c r="C410" t="inlineStr">
        <is>
          <t>Tier 3</t>
        </is>
      </c>
      <c r="D410" t="inlineStr">
        <is>
          <t>DE Advokatbyrå AB</t>
        </is>
      </c>
      <c r="E410" t="inlineStr">
        <is>
          <t>DE Advokatbyrå AB</t>
        </is>
      </c>
    </row>
    <row r="411">
      <c r="A411" t="inlineStr">
        <is>
          <t>Construction</t>
        </is>
      </c>
      <c r="B411" t="inlineStr">
        <is>
          <t>Legal 500</t>
        </is>
      </c>
      <c r="C411" t="inlineStr">
        <is>
          <t>Tier 4</t>
        </is>
      </c>
      <c r="D411" t="inlineStr">
        <is>
          <t>Eversheds Sutherland</t>
        </is>
      </c>
      <c r="E411" t="inlineStr">
        <is>
          <t>Eversheds Sutherland</t>
        </is>
      </c>
    </row>
    <row r="412">
      <c r="A412" t="inlineStr">
        <is>
          <t>Construction</t>
        </is>
      </c>
      <c r="B412" t="inlineStr">
        <is>
          <t>Legal 500</t>
        </is>
      </c>
      <c r="C412" t="inlineStr">
        <is>
          <t>Tier 4</t>
        </is>
      </c>
      <c r="D412" t="inlineStr">
        <is>
          <t>Fylgia</t>
        </is>
      </c>
      <c r="E412" t="inlineStr">
        <is>
          <t>Advokatfirman Fylgia KB</t>
        </is>
      </c>
    </row>
    <row r="413">
      <c r="A413" t="inlineStr">
        <is>
          <t>Construction</t>
        </is>
      </c>
      <c r="B413" t="inlineStr">
        <is>
          <t>Legal 500</t>
        </is>
      </c>
      <c r="C413" t="inlineStr">
        <is>
          <t>Tier 4</t>
        </is>
      </c>
      <c r="D413" t="inlineStr">
        <is>
          <t>Nordia Law</t>
        </is>
      </c>
      <c r="E413" t="inlineStr">
        <is>
          <t>NORDIA Law</t>
        </is>
      </c>
    </row>
    <row r="414">
      <c r="A414" t="inlineStr">
        <is>
          <t>Construction</t>
        </is>
      </c>
      <c r="B414" t="inlineStr">
        <is>
          <t>Legal 500</t>
        </is>
      </c>
      <c r="C414" t="inlineStr">
        <is>
          <t>Tier 4</t>
        </is>
      </c>
      <c r="D414" t="inlineStr">
        <is>
          <t>Snellman</t>
        </is>
      </c>
      <c r="E414" t="inlineStr">
        <is>
          <t>Snellman</t>
        </is>
      </c>
    </row>
    <row r="415">
      <c r="A415" t="inlineStr">
        <is>
          <t>Construction</t>
        </is>
      </c>
      <c r="B415" t="inlineStr">
        <is>
          <t>Legal 500</t>
        </is>
      </c>
      <c r="C415" t="inlineStr">
        <is>
          <t>Tier 4</t>
        </is>
      </c>
      <c r="D415" t="inlineStr">
        <is>
          <t>Wimert Lundgren Advokatbyrå</t>
        </is>
      </c>
      <c r="E415" t="inlineStr">
        <is>
          <t>Wimert Lundgren Advokatbyrå</t>
        </is>
      </c>
    </row>
    <row r="416">
      <c r="A416" t="inlineStr">
        <is>
          <t>Construction</t>
        </is>
      </c>
      <c r="B416" t="inlineStr">
        <is>
          <t>Legal 500</t>
        </is>
      </c>
      <c r="C416" t="inlineStr">
        <is>
          <t>Firms to watch</t>
        </is>
      </c>
      <c r="D416" t="inlineStr">
        <is>
          <t>HC Advokat AB</t>
        </is>
      </c>
      <c r="E416" t="inlineStr">
        <is>
          <t>HC Advokat AB</t>
        </is>
      </c>
    </row>
    <row r="417">
      <c r="A417" t="inlineStr">
        <is>
          <t>IP</t>
        </is>
      </c>
      <c r="B417" t="inlineStr">
        <is>
          <t>Chambers</t>
        </is>
      </c>
      <c r="C417" t="inlineStr">
        <is>
          <t>Band 1</t>
        </is>
      </c>
      <c r="D417" t="inlineStr">
        <is>
          <t>Vinge</t>
        </is>
      </c>
      <c r="E417" t="inlineStr">
        <is>
          <t>Advokatfirman Vinge KB</t>
        </is>
      </c>
    </row>
    <row r="418">
      <c r="A418" t="inlineStr">
        <is>
          <t>IP</t>
        </is>
      </c>
      <c r="B418" t="inlineStr">
        <is>
          <t>Chambers</t>
        </is>
      </c>
      <c r="C418" t="inlineStr">
        <is>
          <t>Band 1</t>
        </is>
      </c>
      <c r="D418" t="inlineStr">
        <is>
          <t>Sandart &amp; Partners</t>
        </is>
      </c>
      <c r="E418" t="inlineStr">
        <is>
          <t>Sandart &amp; Partners</t>
        </is>
      </c>
    </row>
    <row r="419">
      <c r="A419" t="inlineStr">
        <is>
          <t>IP</t>
        </is>
      </c>
      <c r="B419" t="inlineStr">
        <is>
          <t>Chambers</t>
        </is>
      </c>
      <c r="C419" t="inlineStr">
        <is>
          <t>Band 1</t>
        </is>
      </c>
      <c r="D419" t="inlineStr">
        <is>
          <t>Westerberg &amp; Partners</t>
        </is>
      </c>
      <c r="E419" t="inlineStr">
        <is>
          <t>Westerberg &amp; Partners</t>
        </is>
      </c>
    </row>
    <row r="420">
      <c r="A420" t="inlineStr">
        <is>
          <t>IP</t>
        </is>
      </c>
      <c r="B420" t="inlineStr">
        <is>
          <t>Chambers</t>
        </is>
      </c>
      <c r="C420" t="inlineStr">
        <is>
          <t>Band 2</t>
        </is>
      </c>
      <c r="D420" t="inlineStr">
        <is>
          <t>Mannheimer Swartling</t>
        </is>
      </c>
      <c r="E420" t="inlineStr">
        <is>
          <t>Mannheimer Swartling</t>
        </is>
      </c>
    </row>
    <row r="421">
      <c r="A421" t="inlineStr">
        <is>
          <t>IP</t>
        </is>
      </c>
      <c r="B421" t="inlineStr">
        <is>
          <t>Chambers</t>
        </is>
      </c>
      <c r="C421" t="inlineStr">
        <is>
          <t>Band 2</t>
        </is>
      </c>
      <c r="D421" t="inlineStr">
        <is>
          <t>Roschier</t>
        </is>
      </c>
      <c r="E421" t="inlineStr">
        <is>
          <t>Roschier</t>
        </is>
      </c>
    </row>
    <row r="422">
      <c r="A422" t="inlineStr">
        <is>
          <t>IP</t>
        </is>
      </c>
      <c r="B422" t="inlineStr">
        <is>
          <t>Chambers</t>
        </is>
      </c>
      <c r="C422" t="inlineStr">
        <is>
          <t>Band 2</t>
        </is>
      </c>
      <c r="D422" t="inlineStr">
        <is>
          <t>Setterwalls</t>
        </is>
      </c>
      <c r="E422" t="inlineStr">
        <is>
          <t>Setterwalls</t>
        </is>
      </c>
    </row>
    <row r="423">
      <c r="A423" t="inlineStr">
        <is>
          <t>IP</t>
        </is>
      </c>
      <c r="B423" t="inlineStr">
        <is>
          <t>Chambers</t>
        </is>
      </c>
      <c r="C423" t="inlineStr">
        <is>
          <t>Band 3</t>
        </is>
      </c>
      <c r="D423" t="inlineStr">
        <is>
          <t>Delphi</t>
        </is>
      </c>
      <c r="E423" t="inlineStr">
        <is>
          <t>Delphi</t>
        </is>
      </c>
    </row>
    <row r="424">
      <c r="A424" t="inlineStr">
        <is>
          <t>IP</t>
        </is>
      </c>
      <c r="B424" t="inlineStr">
        <is>
          <t>Chambers</t>
        </is>
      </c>
      <c r="C424" t="inlineStr">
        <is>
          <t>Band 3</t>
        </is>
      </c>
      <c r="D424" t="inlineStr">
        <is>
          <t>Ström</t>
        </is>
      </c>
      <c r="E424" t="inlineStr">
        <is>
          <t>Ström Advokatbyrå</t>
        </is>
      </c>
    </row>
    <row r="425">
      <c r="A425" t="inlineStr">
        <is>
          <t>IP</t>
        </is>
      </c>
      <c r="B425" t="inlineStr">
        <is>
          <t>Chambers</t>
        </is>
      </c>
      <c r="C425" t="inlineStr">
        <is>
          <t>Band 4</t>
        </is>
      </c>
      <c r="D425" t="inlineStr">
        <is>
          <t>Gulliksson</t>
        </is>
      </c>
      <c r="E425" t="inlineStr">
        <is>
          <t>Advokatbyrån Gulliksson AB</t>
        </is>
      </c>
    </row>
    <row r="426">
      <c r="A426" t="inlineStr">
        <is>
          <t>IP</t>
        </is>
      </c>
      <c r="B426" t="inlineStr">
        <is>
          <t>Chambers</t>
        </is>
      </c>
      <c r="C426" t="inlineStr">
        <is>
          <t>Band 4</t>
        </is>
      </c>
      <c r="D426" t="inlineStr">
        <is>
          <t>Lindahl</t>
        </is>
      </c>
      <c r="E426" t="inlineStr">
        <is>
          <t>Advokatfirman Lindahl</t>
        </is>
      </c>
    </row>
    <row r="427">
      <c r="A427" t="inlineStr">
        <is>
          <t>IP</t>
        </is>
      </c>
      <c r="B427" t="inlineStr">
        <is>
          <t>Chambers</t>
        </is>
      </c>
      <c r="C427" t="inlineStr">
        <is>
          <t>Band 4</t>
        </is>
      </c>
      <c r="D427" t="inlineStr">
        <is>
          <t>Bird &amp; Bird</t>
        </is>
      </c>
      <c r="E427" t="inlineStr">
        <is>
          <t>Bird &amp; Bird</t>
        </is>
      </c>
    </row>
    <row r="428">
      <c r="A428" t="inlineStr">
        <is>
          <t>IP</t>
        </is>
      </c>
      <c r="B428" t="inlineStr">
        <is>
          <t>Chambers</t>
        </is>
      </c>
      <c r="C428" t="inlineStr">
        <is>
          <t>Band 4</t>
        </is>
      </c>
      <c r="D428" t="inlineStr">
        <is>
          <t>Kanter</t>
        </is>
      </c>
      <c r="E428" t="inlineStr">
        <is>
          <t>KANTER Advokatbyrå</t>
        </is>
      </c>
    </row>
    <row r="429">
      <c r="A429" t="inlineStr">
        <is>
          <t>IP</t>
        </is>
      </c>
      <c r="B429" t="inlineStr">
        <is>
          <t>Chambers</t>
        </is>
      </c>
      <c r="C429" t="inlineStr">
        <is>
          <t>Band 4</t>
        </is>
      </c>
      <c r="D429" t="inlineStr">
        <is>
          <t>Synch</t>
        </is>
      </c>
      <c r="E429" t="inlineStr">
        <is>
          <t>Synch Law AB</t>
        </is>
      </c>
    </row>
    <row r="430">
      <c r="A430" t="inlineStr">
        <is>
          <t>IP</t>
        </is>
      </c>
      <c r="B430" t="inlineStr">
        <is>
          <t>Chambers</t>
        </is>
      </c>
      <c r="C430" t="inlineStr">
        <is>
          <t>Band 4</t>
        </is>
      </c>
      <c r="D430" t="inlineStr">
        <is>
          <t>TIME DANOWSKY Advokatbyrå AB</t>
        </is>
      </c>
      <c r="E430" t="inlineStr">
        <is>
          <t>TIME DANOWSKY Advokatbyrå AB</t>
        </is>
      </c>
    </row>
    <row r="431">
      <c r="A431" t="inlineStr">
        <is>
          <t>IP</t>
        </is>
      </c>
      <c r="B431" t="inlineStr">
        <is>
          <t>Legal 500</t>
        </is>
      </c>
      <c r="C431" t="inlineStr">
        <is>
          <t>Tier 1</t>
        </is>
      </c>
      <c r="D431" t="inlineStr">
        <is>
          <t>Sandart &amp; Partners</t>
        </is>
      </c>
      <c r="E431" t="inlineStr">
        <is>
          <t>Sandart&amp;Partners Advokatbyrå KB</t>
        </is>
      </c>
    </row>
    <row r="432">
      <c r="A432" t="inlineStr">
        <is>
          <t>IP</t>
        </is>
      </c>
      <c r="B432" t="inlineStr">
        <is>
          <t>Legal 500</t>
        </is>
      </c>
      <c r="C432" t="inlineStr">
        <is>
          <t>Tier 1</t>
        </is>
      </c>
      <c r="D432" t="inlineStr">
        <is>
          <t>Setterwalls</t>
        </is>
      </c>
      <c r="E432" t="inlineStr">
        <is>
          <t>Setterwalls</t>
        </is>
      </c>
    </row>
    <row r="433">
      <c r="A433" t="inlineStr">
        <is>
          <t>IP</t>
        </is>
      </c>
      <c r="B433" t="inlineStr">
        <is>
          <t>Legal 500</t>
        </is>
      </c>
      <c r="C433" t="inlineStr">
        <is>
          <t>Tier 1</t>
        </is>
      </c>
      <c r="D433" t="inlineStr">
        <is>
          <t>Vinge</t>
        </is>
      </c>
      <c r="E433" t="inlineStr">
        <is>
          <t>Advokatfirman Vinge KB</t>
        </is>
      </c>
    </row>
    <row r="434">
      <c r="A434" t="inlineStr">
        <is>
          <t>IP</t>
        </is>
      </c>
      <c r="B434" t="inlineStr">
        <is>
          <t>Legal 500</t>
        </is>
      </c>
      <c r="C434" t="inlineStr">
        <is>
          <t>Tier 1</t>
        </is>
      </c>
      <c r="D434" t="inlineStr">
        <is>
          <t>Westerberg &amp; Partners</t>
        </is>
      </c>
      <c r="E434" t="inlineStr">
        <is>
          <t>Westerberg &amp; Partners</t>
        </is>
      </c>
    </row>
    <row r="435">
      <c r="A435" t="inlineStr">
        <is>
          <t>IP</t>
        </is>
      </c>
      <c r="B435" t="inlineStr">
        <is>
          <t>Legal 500</t>
        </is>
      </c>
      <c r="C435" t="inlineStr">
        <is>
          <t>Tier 2</t>
        </is>
      </c>
      <c r="D435" t="inlineStr">
        <is>
          <t>Cederquist</t>
        </is>
      </c>
      <c r="E435" t="inlineStr">
        <is>
          <t>Advokatfirman Cederquist KB</t>
        </is>
      </c>
    </row>
    <row r="436">
      <c r="A436" t="inlineStr">
        <is>
          <t>IP</t>
        </is>
      </c>
      <c r="B436" t="inlineStr">
        <is>
          <t>Legal 500</t>
        </is>
      </c>
      <c r="C436" t="inlineStr">
        <is>
          <t>Tier 2</t>
        </is>
      </c>
      <c r="D436" t="inlineStr">
        <is>
          <t>Delphi</t>
        </is>
      </c>
      <c r="E436" t="inlineStr">
        <is>
          <t>Advokatfirman Delphi</t>
        </is>
      </c>
    </row>
    <row r="437">
      <c r="A437" t="inlineStr">
        <is>
          <t>IP</t>
        </is>
      </c>
      <c r="B437" t="inlineStr">
        <is>
          <t>Legal 500</t>
        </is>
      </c>
      <c r="C437" t="inlineStr">
        <is>
          <t>Tier 2</t>
        </is>
      </c>
      <c r="D437" t="inlineStr">
        <is>
          <t>Gulliksson</t>
        </is>
      </c>
      <c r="E437" t="inlineStr">
        <is>
          <t>Advokatbyrån Gulliksson</t>
        </is>
      </c>
    </row>
    <row r="438">
      <c r="A438" t="inlineStr">
        <is>
          <t>IP</t>
        </is>
      </c>
      <c r="B438" t="inlineStr">
        <is>
          <t>Legal 500</t>
        </is>
      </c>
      <c r="C438" t="inlineStr">
        <is>
          <t>Tier 2</t>
        </is>
      </c>
      <c r="D438" t="inlineStr">
        <is>
          <t>Mannheimer Swartling</t>
        </is>
      </c>
      <c r="E438" t="inlineStr">
        <is>
          <t>Mannheimer Swartling</t>
        </is>
      </c>
    </row>
    <row r="439">
      <c r="A439" t="inlineStr">
        <is>
          <t>IP</t>
        </is>
      </c>
      <c r="B439" t="inlineStr">
        <is>
          <t>Legal 500</t>
        </is>
      </c>
      <c r="C439" t="inlineStr">
        <is>
          <t>Tier 2</t>
        </is>
      </c>
      <c r="D439" t="inlineStr">
        <is>
          <t>Roschier</t>
        </is>
      </c>
      <c r="E439" t="inlineStr">
        <is>
          <t>Roschier</t>
        </is>
      </c>
    </row>
    <row r="440">
      <c r="A440" t="inlineStr">
        <is>
          <t>IP</t>
        </is>
      </c>
      <c r="B440" t="inlineStr">
        <is>
          <t>Legal 500</t>
        </is>
      </c>
      <c r="C440" t="inlineStr">
        <is>
          <t>Tier 2</t>
        </is>
      </c>
      <c r="D440" t="inlineStr">
        <is>
          <t>Ström</t>
        </is>
      </c>
      <c r="E440" t="inlineStr">
        <is>
          <t>Ström Advokatbyrå</t>
        </is>
      </c>
    </row>
    <row r="441">
      <c r="A441" t="inlineStr">
        <is>
          <t>IP</t>
        </is>
      </c>
      <c r="B441" t="inlineStr">
        <is>
          <t>Legal 500</t>
        </is>
      </c>
      <c r="C441" t="inlineStr">
        <is>
          <t>Tier 2</t>
        </is>
      </c>
      <c r="D441" t="inlineStr">
        <is>
          <t>AWA</t>
        </is>
      </c>
      <c r="E441" t="inlineStr">
        <is>
          <t>AWA</t>
        </is>
      </c>
    </row>
    <row r="442">
      <c r="A442" t="inlineStr">
        <is>
          <t>IP</t>
        </is>
      </c>
      <c r="B442" t="inlineStr">
        <is>
          <t>Legal 500</t>
        </is>
      </c>
      <c r="C442" t="inlineStr">
        <is>
          <t>Tier 2</t>
        </is>
      </c>
      <c r="D442" t="inlineStr">
        <is>
          <t>Synch</t>
        </is>
      </c>
      <c r="E442" t="inlineStr">
        <is>
          <t>Synch Law AB</t>
        </is>
      </c>
    </row>
    <row r="443">
      <c r="A443" t="inlineStr">
        <is>
          <t>IP</t>
        </is>
      </c>
      <c r="B443" t="inlineStr">
        <is>
          <t>Legal 500</t>
        </is>
      </c>
      <c r="C443" t="inlineStr">
        <is>
          <t>Tier 3</t>
        </is>
      </c>
      <c r="D443" t="inlineStr">
        <is>
          <t>Baker McKenzie</t>
        </is>
      </c>
      <c r="E443" t="inlineStr">
        <is>
          <t>Baker McKenzie</t>
        </is>
      </c>
    </row>
    <row r="444">
      <c r="A444" t="inlineStr">
        <is>
          <t>IP</t>
        </is>
      </c>
      <c r="B444" t="inlineStr">
        <is>
          <t>Legal 500</t>
        </is>
      </c>
      <c r="C444" t="inlineStr">
        <is>
          <t>Tier 3</t>
        </is>
      </c>
      <c r="D444" t="inlineStr">
        <is>
          <t>Bird &amp; Bird</t>
        </is>
      </c>
      <c r="E444" t="inlineStr">
        <is>
          <t>Bird &amp; Bird</t>
        </is>
      </c>
    </row>
    <row r="445">
      <c r="A445" t="inlineStr">
        <is>
          <t>IP</t>
        </is>
      </c>
      <c r="B445" t="inlineStr">
        <is>
          <t>Legal 500</t>
        </is>
      </c>
      <c r="C445" t="inlineStr">
        <is>
          <t>Tier 3</t>
        </is>
      </c>
      <c r="D445" t="inlineStr">
        <is>
          <t>Lindahl</t>
        </is>
      </c>
      <c r="E445" t="inlineStr">
        <is>
          <t>Advokatfirman Lindahl KB</t>
        </is>
      </c>
    </row>
    <row r="446">
      <c r="A446" t="inlineStr">
        <is>
          <t>IP</t>
        </is>
      </c>
      <c r="B446" t="inlineStr">
        <is>
          <t>Legal 500</t>
        </is>
      </c>
      <c r="C446" t="inlineStr">
        <is>
          <t>Tier 3</t>
        </is>
      </c>
      <c r="D446" t="inlineStr">
        <is>
          <t>Advokatfirman Malmstedt Law AB</t>
        </is>
      </c>
      <c r="E446" t="inlineStr">
        <is>
          <t>Advokatfirman Malmstedt Law AB</t>
        </is>
      </c>
    </row>
    <row r="447">
      <c r="A447" t="inlineStr">
        <is>
          <t>IP</t>
        </is>
      </c>
      <c r="B447" t="inlineStr">
        <is>
          <t>Legal 500</t>
        </is>
      </c>
      <c r="C447" t="inlineStr">
        <is>
          <t>Tier 3</t>
        </is>
      </c>
      <c r="D447" t="inlineStr">
        <is>
          <t>Schjødt</t>
        </is>
      </c>
      <c r="E447" t="inlineStr">
        <is>
          <t>Advokatfirman Schjødt</t>
        </is>
      </c>
    </row>
    <row r="448">
      <c r="A448" t="inlineStr">
        <is>
          <t>IP</t>
        </is>
      </c>
      <c r="B448" t="inlineStr">
        <is>
          <t>Legal 500</t>
        </is>
      </c>
      <c r="C448" t="inlineStr">
        <is>
          <t>Tier 3</t>
        </is>
      </c>
      <c r="D448" t="inlineStr">
        <is>
          <t>Zacco</t>
        </is>
      </c>
      <c r="E448" t="inlineStr">
        <is>
          <t>Zacco</t>
        </is>
      </c>
    </row>
    <row r="449">
      <c r="A449" t="inlineStr">
        <is>
          <t>IP</t>
        </is>
      </c>
      <c r="B449" t="inlineStr">
        <is>
          <t>Legal 500</t>
        </is>
      </c>
      <c r="C449" t="inlineStr">
        <is>
          <t>Tier 4</t>
        </is>
      </c>
      <c r="D449" t="inlineStr">
        <is>
          <t>CMS Wistrand</t>
        </is>
      </c>
      <c r="E449" t="inlineStr">
        <is>
          <t>CMS Wistrand</t>
        </is>
      </c>
    </row>
    <row r="450">
      <c r="A450" t="inlineStr">
        <is>
          <t>IP</t>
        </is>
      </c>
      <c r="B450" t="inlineStr">
        <is>
          <t>Legal 500</t>
        </is>
      </c>
      <c r="C450" t="inlineStr">
        <is>
          <t>Tier 4</t>
        </is>
      </c>
      <c r="D450" t="inlineStr">
        <is>
          <t>DLA Piper</t>
        </is>
      </c>
      <c r="E450" t="inlineStr">
        <is>
          <t>DLA Piper Sweden</t>
        </is>
      </c>
    </row>
    <row r="451">
      <c r="A451" t="inlineStr">
        <is>
          <t>IP</t>
        </is>
      </c>
      <c r="B451" t="inlineStr">
        <is>
          <t>Legal 500</t>
        </is>
      </c>
      <c r="C451" t="inlineStr">
        <is>
          <t>Tier 4</t>
        </is>
      </c>
      <c r="D451" t="inlineStr">
        <is>
          <t>Magnusson</t>
        </is>
      </c>
      <c r="E451" t="inlineStr">
        <is>
          <t>Magnusson</t>
        </is>
      </c>
    </row>
    <row r="452">
      <c r="A452" t="inlineStr">
        <is>
          <t>IP</t>
        </is>
      </c>
      <c r="B452" t="inlineStr">
        <is>
          <t>Legal 500</t>
        </is>
      </c>
      <c r="C452" t="inlineStr">
        <is>
          <t>Tier 4</t>
        </is>
      </c>
      <c r="D452" t="inlineStr">
        <is>
          <t>MAQS</t>
        </is>
      </c>
      <c r="E452" t="inlineStr">
        <is>
          <t>MAQS Advokatbyrå</t>
        </is>
      </c>
    </row>
    <row r="453">
      <c r="A453" t="inlineStr">
        <is>
          <t>IP</t>
        </is>
      </c>
      <c r="B453" t="inlineStr">
        <is>
          <t>Legal 500</t>
        </is>
      </c>
      <c r="C453" t="inlineStr">
        <is>
          <t>Tier 4</t>
        </is>
      </c>
      <c r="D453" t="inlineStr">
        <is>
          <t>TIME DANOWSKY Advokatbyrå AB</t>
        </is>
      </c>
      <c r="E453" t="inlineStr">
        <is>
          <t>TIME DANOWSKY Advokatbyrå AB</t>
        </is>
      </c>
    </row>
    <row r="454">
      <c r="A454" t="inlineStr">
        <is>
          <t>IP</t>
        </is>
      </c>
      <c r="B454" t="inlineStr">
        <is>
          <t>Legal 500</t>
        </is>
      </c>
      <c r="C454" t="inlineStr">
        <is>
          <t>Tier 4</t>
        </is>
      </c>
      <c r="D454" t="inlineStr">
        <is>
          <t>Advokatfirman MarLaw AB</t>
        </is>
      </c>
      <c r="E454" t="inlineStr">
        <is>
          <t>Advokatfirman MarLaw AB</t>
        </is>
      </c>
    </row>
    <row r="455">
      <c r="A455" t="inlineStr">
        <is>
          <t>IP</t>
        </is>
      </c>
      <c r="B455" t="inlineStr">
        <is>
          <t>Legal 500</t>
        </is>
      </c>
      <c r="C455" t="inlineStr">
        <is>
          <t>Tier 4</t>
        </is>
      </c>
      <c r="D455" t="inlineStr">
        <is>
          <t>Potter Clarkson LLP</t>
        </is>
      </c>
      <c r="E455" t="inlineStr">
        <is>
          <t>Potter Clarkson LLP</t>
        </is>
      </c>
    </row>
    <row r="456">
      <c r="A456" t="inlineStr">
        <is>
          <t>IP</t>
        </is>
      </c>
      <c r="B456" t="inlineStr">
        <is>
          <t>Legal 500</t>
        </is>
      </c>
      <c r="C456" t="inlineStr">
        <is>
          <t>Tier 5</t>
        </is>
      </c>
      <c r="D456" t="inlineStr">
        <is>
          <t>Cirio</t>
        </is>
      </c>
      <c r="E456" t="inlineStr">
        <is>
          <t>Cirio Advokatbyrå AB</t>
        </is>
      </c>
    </row>
    <row r="457">
      <c r="A457" t="inlineStr">
        <is>
          <t>IP</t>
        </is>
      </c>
      <c r="B457" t="inlineStr">
        <is>
          <t>Legal 500</t>
        </is>
      </c>
      <c r="C457" t="inlineStr">
        <is>
          <t>Tier 5</t>
        </is>
      </c>
      <c r="D457" t="inlineStr">
        <is>
          <t>Eversheds Sutherland</t>
        </is>
      </c>
      <c r="E457" t="inlineStr">
        <is>
          <t>Eversheds Sutherland</t>
        </is>
      </c>
    </row>
    <row r="458">
      <c r="A458" t="inlineStr">
        <is>
          <t>IP</t>
        </is>
      </c>
      <c r="B458" t="inlineStr">
        <is>
          <t>Legal 500</t>
        </is>
      </c>
      <c r="C458" t="inlineStr">
        <is>
          <t>Tier 5</t>
        </is>
      </c>
      <c r="D458" t="inlineStr">
        <is>
          <t>Morris Law</t>
        </is>
      </c>
      <c r="E458" t="inlineStr">
        <is>
          <t>Morris Law</t>
        </is>
      </c>
    </row>
    <row r="459">
      <c r="A459" t="inlineStr">
        <is>
          <t>IP</t>
        </is>
      </c>
      <c r="B459" t="inlineStr">
        <is>
          <t>Legal 500</t>
        </is>
      </c>
      <c r="C459" t="inlineStr">
        <is>
          <t>Tier 5</t>
        </is>
      </c>
      <c r="D459" t="inlineStr">
        <is>
          <t>Nordia Law</t>
        </is>
      </c>
      <c r="E459" t="inlineStr">
        <is>
          <t>NORDIA Law</t>
        </is>
      </c>
    </row>
    <row r="460">
      <c r="A460" t="inlineStr">
        <is>
          <t>IP</t>
        </is>
      </c>
      <c r="B460" t="inlineStr">
        <is>
          <t>Legal 500</t>
        </is>
      </c>
      <c r="C460" t="inlineStr">
        <is>
          <t>Tier 5</t>
        </is>
      </c>
      <c r="D460" t="inlineStr">
        <is>
          <t>Snellman</t>
        </is>
      </c>
      <c r="E460" t="inlineStr">
        <is>
          <t>Snellman</t>
        </is>
      </c>
    </row>
    <row r="461">
      <c r="A461" t="inlineStr">
        <is>
          <t>IP</t>
        </is>
      </c>
      <c r="B461" t="inlineStr">
        <is>
          <t>Legal 500</t>
        </is>
      </c>
      <c r="C461" t="inlineStr">
        <is>
          <t>Tier 5</t>
        </is>
      </c>
      <c r="D461" t="inlineStr">
        <is>
          <t>TM &amp; Partners</t>
        </is>
      </c>
      <c r="E461" t="inlineStr">
        <is>
          <t>TM &amp; Partners</t>
        </is>
      </c>
    </row>
    <row r="462">
      <c r="A462" t="inlineStr">
        <is>
          <t>IP</t>
        </is>
      </c>
      <c r="B462" t="inlineStr">
        <is>
          <t>Legal 500</t>
        </is>
      </c>
      <c r="C462" t="inlineStr">
        <is>
          <t>Tier 5</t>
        </is>
      </c>
      <c r="D462" t="inlineStr">
        <is>
          <t>Barker Brettell LLP</t>
        </is>
      </c>
      <c r="E462" t="inlineStr">
        <is>
          <t>Barker Brettell LLP</t>
        </is>
      </c>
    </row>
    <row r="463">
      <c r="A463" t="inlineStr">
        <is>
          <t>IP</t>
        </is>
      </c>
      <c r="B463" t="inlineStr">
        <is>
          <t>Legal 500</t>
        </is>
      </c>
      <c r="C463" t="inlineStr">
        <is>
          <t>Tier 5</t>
        </is>
      </c>
      <c r="D463" t="inlineStr">
        <is>
          <t>Next Law</t>
        </is>
      </c>
      <c r="E463" t="inlineStr">
        <is>
          <t>Next Law KB</t>
        </is>
      </c>
    </row>
    <row r="464">
      <c r="A464" t="inlineStr">
        <is>
          <t>IT / TMT</t>
        </is>
      </c>
      <c r="B464" t="inlineStr">
        <is>
          <t>Chambers</t>
        </is>
      </c>
      <c r="C464" t="inlineStr">
        <is>
          <t>Band 1</t>
        </is>
      </c>
      <c r="D464" t="inlineStr">
        <is>
          <t>Kahn Pedersen</t>
        </is>
      </c>
      <c r="E464" t="inlineStr">
        <is>
          <t>Advokatfirman Kahn Pedersen</t>
        </is>
      </c>
    </row>
    <row r="465">
      <c r="A465" t="inlineStr">
        <is>
          <t>IT / TMT</t>
        </is>
      </c>
      <c r="B465" t="inlineStr">
        <is>
          <t>Chambers</t>
        </is>
      </c>
      <c r="C465" t="inlineStr">
        <is>
          <t>Band 1</t>
        </is>
      </c>
      <c r="D465" t="inlineStr">
        <is>
          <t>Mannheimer Swartling</t>
        </is>
      </c>
      <c r="E465" t="inlineStr">
        <is>
          <t>Mannheimer Swartling</t>
        </is>
      </c>
    </row>
    <row r="466">
      <c r="A466" t="inlineStr">
        <is>
          <t>IT / TMT</t>
        </is>
      </c>
      <c r="B466" t="inlineStr">
        <is>
          <t>Chambers</t>
        </is>
      </c>
      <c r="C466" t="inlineStr">
        <is>
          <t>Band 1</t>
        </is>
      </c>
      <c r="D466" t="inlineStr">
        <is>
          <t>Setterwalls</t>
        </is>
      </c>
      <c r="E466" t="inlineStr">
        <is>
          <t>Setterwalls</t>
        </is>
      </c>
    </row>
    <row r="467">
      <c r="A467" t="inlineStr">
        <is>
          <t>IT / TMT</t>
        </is>
      </c>
      <c r="B467" t="inlineStr">
        <is>
          <t>Chambers</t>
        </is>
      </c>
      <c r="C467" t="inlineStr">
        <is>
          <t>Band 2</t>
        </is>
      </c>
      <c r="D467" t="inlineStr">
        <is>
          <t>Vinge</t>
        </is>
      </c>
      <c r="E467" t="inlineStr">
        <is>
          <t>Advokatfirman Vinge KB</t>
        </is>
      </c>
    </row>
    <row r="468">
      <c r="A468" t="inlineStr">
        <is>
          <t>IT / TMT</t>
        </is>
      </c>
      <c r="B468" t="inlineStr">
        <is>
          <t>Chambers</t>
        </is>
      </c>
      <c r="C468" t="inlineStr">
        <is>
          <t>Band 2</t>
        </is>
      </c>
      <c r="D468" t="inlineStr">
        <is>
          <t>Delphi</t>
        </is>
      </c>
      <c r="E468" t="inlineStr">
        <is>
          <t>Delphi</t>
        </is>
      </c>
    </row>
    <row r="469">
      <c r="A469" t="inlineStr">
        <is>
          <t>IT / TMT</t>
        </is>
      </c>
      <c r="B469" t="inlineStr">
        <is>
          <t>Chambers</t>
        </is>
      </c>
      <c r="C469" t="inlineStr">
        <is>
          <t>Band 2</t>
        </is>
      </c>
      <c r="D469" t="inlineStr">
        <is>
          <t>Snellman</t>
        </is>
      </c>
      <c r="E469" t="inlineStr">
        <is>
          <t>Snellman Advokatbyrå AB</t>
        </is>
      </c>
    </row>
    <row r="470">
      <c r="A470" t="inlineStr">
        <is>
          <t>IT / TMT</t>
        </is>
      </c>
      <c r="B470" t="inlineStr">
        <is>
          <t>Chambers</t>
        </is>
      </c>
      <c r="C470" t="inlineStr">
        <is>
          <t>Band 3</t>
        </is>
      </c>
      <c r="D470" t="inlineStr">
        <is>
          <t>Cederquist</t>
        </is>
      </c>
      <c r="E470" t="inlineStr">
        <is>
          <t>Advokatfirman Cederquist KB</t>
        </is>
      </c>
    </row>
    <row r="471">
      <c r="A471" t="inlineStr">
        <is>
          <t>IT / TMT</t>
        </is>
      </c>
      <c r="B471" t="inlineStr">
        <is>
          <t>Chambers</t>
        </is>
      </c>
      <c r="C471" t="inlineStr">
        <is>
          <t>Band 3</t>
        </is>
      </c>
      <c r="D471" t="inlineStr">
        <is>
          <t>Cirio</t>
        </is>
      </c>
      <c r="E471" t="inlineStr">
        <is>
          <t>Cirio Advokatbyrå AB</t>
        </is>
      </c>
    </row>
    <row r="472">
      <c r="A472" t="inlineStr">
        <is>
          <t>IT / TMT</t>
        </is>
      </c>
      <c r="B472" t="inlineStr">
        <is>
          <t>Chambers</t>
        </is>
      </c>
      <c r="C472" t="inlineStr">
        <is>
          <t>Band 3</t>
        </is>
      </c>
      <c r="D472" t="inlineStr">
        <is>
          <t>DLA Piper</t>
        </is>
      </c>
      <c r="E472" t="inlineStr">
        <is>
          <t>DLA Piper</t>
        </is>
      </c>
    </row>
    <row r="473">
      <c r="A473" t="inlineStr">
        <is>
          <t>IT / TMT</t>
        </is>
      </c>
      <c r="B473" t="inlineStr">
        <is>
          <t>Chambers</t>
        </is>
      </c>
      <c r="C473" t="inlineStr">
        <is>
          <t>Band 3</t>
        </is>
      </c>
      <c r="D473" t="inlineStr">
        <is>
          <t>Roschier</t>
        </is>
      </c>
      <c r="E473" t="inlineStr">
        <is>
          <t>Roschier</t>
        </is>
      </c>
    </row>
    <row r="474">
      <c r="A474" t="inlineStr">
        <is>
          <t>IT / TMT</t>
        </is>
      </c>
      <c r="B474" t="inlineStr">
        <is>
          <t>Chambers</t>
        </is>
      </c>
      <c r="C474" t="inlineStr">
        <is>
          <t>Band 3</t>
        </is>
      </c>
      <c r="D474" t="inlineStr">
        <is>
          <t>Synch</t>
        </is>
      </c>
      <c r="E474" t="inlineStr">
        <is>
          <t>Synch Law AB</t>
        </is>
      </c>
    </row>
    <row r="475">
      <c r="A475" t="inlineStr">
        <is>
          <t>IT / TMT</t>
        </is>
      </c>
      <c r="B475" t="inlineStr">
        <is>
          <t>Chambers</t>
        </is>
      </c>
      <c r="C475" t="inlineStr">
        <is>
          <t>Band 3</t>
        </is>
      </c>
      <c r="D475" t="inlineStr">
        <is>
          <t>TIME DANOWSKY Advokatbyrå AB</t>
        </is>
      </c>
      <c r="E475" t="inlineStr">
        <is>
          <t>TIME DANOWSKY Advokatbyrå AB</t>
        </is>
      </c>
    </row>
    <row r="476">
      <c r="A476" t="inlineStr">
        <is>
          <t>IT / TMT</t>
        </is>
      </c>
      <c r="B476" t="inlineStr">
        <is>
          <t>Chambers</t>
        </is>
      </c>
      <c r="C476" t="inlineStr">
        <is>
          <t>Band 4</t>
        </is>
      </c>
      <c r="D476" t="inlineStr">
        <is>
          <t>Eversheds Sutherland</t>
        </is>
      </c>
      <c r="E476" t="inlineStr">
        <is>
          <t>Eversheds Sutherland Advokatbyrå AB</t>
        </is>
      </c>
    </row>
    <row r="477">
      <c r="A477" t="inlineStr">
        <is>
          <t>IT / TMT</t>
        </is>
      </c>
      <c r="B477" t="inlineStr">
        <is>
          <t>Chambers</t>
        </is>
      </c>
      <c r="C477" t="inlineStr">
        <is>
          <t>Band 4</t>
        </is>
      </c>
      <c r="D477" t="inlineStr">
        <is>
          <t>Hellström</t>
        </is>
      </c>
      <c r="E477" t="inlineStr">
        <is>
          <t>Hellström Advokatbyrå kb</t>
        </is>
      </c>
    </row>
    <row r="478">
      <c r="A478" t="inlineStr">
        <is>
          <t>IT / TMT</t>
        </is>
      </c>
      <c r="B478" t="inlineStr">
        <is>
          <t>Chambers</t>
        </is>
      </c>
      <c r="C478" t="inlineStr">
        <is>
          <t>Band 4</t>
        </is>
      </c>
      <c r="D478" t="inlineStr">
        <is>
          <t>Kompass</t>
        </is>
      </c>
      <c r="E478" t="inlineStr">
        <is>
          <t>Kompass Advokat</t>
        </is>
      </c>
    </row>
    <row r="479">
      <c r="A479" t="inlineStr">
        <is>
          <t>IT / TMT</t>
        </is>
      </c>
      <c r="B479" t="inlineStr">
        <is>
          <t>Legal 500</t>
        </is>
      </c>
      <c r="C479" t="inlineStr">
        <is>
          <t>Tier 1</t>
        </is>
      </c>
      <c r="D479" t="inlineStr">
        <is>
          <t>Delphi</t>
        </is>
      </c>
      <c r="E479" t="inlineStr">
        <is>
          <t>Advokatfirman Delphi</t>
        </is>
      </c>
    </row>
    <row r="480">
      <c r="A480" t="inlineStr">
        <is>
          <t>IT / TMT</t>
        </is>
      </c>
      <c r="B480" t="inlineStr">
        <is>
          <t>Legal 500</t>
        </is>
      </c>
      <c r="C480" t="inlineStr">
        <is>
          <t>Tier 1</t>
        </is>
      </c>
      <c r="D480" t="inlineStr">
        <is>
          <t>Kahn Pedersen</t>
        </is>
      </c>
      <c r="E480" t="inlineStr">
        <is>
          <t>Advokatfirman Kahn Pedersen KB</t>
        </is>
      </c>
    </row>
    <row r="481">
      <c r="A481" t="inlineStr">
        <is>
          <t>IT / TMT</t>
        </is>
      </c>
      <c r="B481" t="inlineStr">
        <is>
          <t>Legal 500</t>
        </is>
      </c>
      <c r="C481" t="inlineStr">
        <is>
          <t>Tier 1</t>
        </is>
      </c>
      <c r="D481" t="inlineStr">
        <is>
          <t>Mannheimer Swartling</t>
        </is>
      </c>
      <c r="E481" t="inlineStr">
        <is>
          <t>Mannheimer Swartling</t>
        </is>
      </c>
    </row>
    <row r="482">
      <c r="A482" t="inlineStr">
        <is>
          <t>IT / TMT</t>
        </is>
      </c>
      <c r="B482" t="inlineStr">
        <is>
          <t>Legal 500</t>
        </is>
      </c>
      <c r="C482" t="inlineStr">
        <is>
          <t>Tier 1</t>
        </is>
      </c>
      <c r="D482" t="inlineStr">
        <is>
          <t>Setterwalls</t>
        </is>
      </c>
      <c r="E482" t="inlineStr">
        <is>
          <t>Setterwalls</t>
        </is>
      </c>
    </row>
    <row r="483">
      <c r="A483" t="inlineStr">
        <is>
          <t>IT / TMT</t>
        </is>
      </c>
      <c r="B483" t="inlineStr">
        <is>
          <t>Legal 500</t>
        </is>
      </c>
      <c r="C483" t="inlineStr">
        <is>
          <t>Tier 1</t>
        </is>
      </c>
      <c r="D483" t="inlineStr">
        <is>
          <t>Vinge</t>
        </is>
      </c>
      <c r="E483" t="inlineStr">
        <is>
          <t>Advokatfirman Vinge KB</t>
        </is>
      </c>
    </row>
    <row r="484">
      <c r="A484" t="inlineStr">
        <is>
          <t>IT / TMT</t>
        </is>
      </c>
      <c r="B484" t="inlineStr">
        <is>
          <t>Legal 500</t>
        </is>
      </c>
      <c r="C484" t="inlineStr">
        <is>
          <t>Tier 2</t>
        </is>
      </c>
      <c r="D484" t="inlineStr">
        <is>
          <t>Cederquist</t>
        </is>
      </c>
      <c r="E484" t="inlineStr">
        <is>
          <t>Advokatfirman Cederquist KB</t>
        </is>
      </c>
    </row>
    <row r="485">
      <c r="A485" t="inlineStr">
        <is>
          <t>IT / TMT</t>
        </is>
      </c>
      <c r="B485" t="inlineStr">
        <is>
          <t>Legal 500</t>
        </is>
      </c>
      <c r="C485" t="inlineStr">
        <is>
          <t>Tier 2</t>
        </is>
      </c>
      <c r="D485" t="inlineStr">
        <is>
          <t>Cirio</t>
        </is>
      </c>
      <c r="E485" t="inlineStr">
        <is>
          <t>Cirio Advokatbyrå AB</t>
        </is>
      </c>
    </row>
    <row r="486">
      <c r="A486" t="inlineStr">
        <is>
          <t>IT / TMT</t>
        </is>
      </c>
      <c r="B486" t="inlineStr">
        <is>
          <t>Legal 500</t>
        </is>
      </c>
      <c r="C486" t="inlineStr">
        <is>
          <t>Tier 2</t>
        </is>
      </c>
      <c r="D486" t="inlineStr">
        <is>
          <t>Snellman</t>
        </is>
      </c>
      <c r="E486" t="inlineStr">
        <is>
          <t>Snellman</t>
        </is>
      </c>
    </row>
    <row r="487">
      <c r="A487" t="inlineStr">
        <is>
          <t>IT / TMT</t>
        </is>
      </c>
      <c r="B487" t="inlineStr">
        <is>
          <t>Legal 500</t>
        </is>
      </c>
      <c r="C487" t="inlineStr">
        <is>
          <t>Tier 2</t>
        </is>
      </c>
      <c r="D487" t="inlineStr">
        <is>
          <t>TIME DANOWSKY Advokatbyrå AB</t>
        </is>
      </c>
      <c r="E487" t="inlineStr">
        <is>
          <t>TIME DANOWSKY Advokatbyrå AB</t>
        </is>
      </c>
    </row>
    <row r="488">
      <c r="A488" t="inlineStr">
        <is>
          <t>IT / TMT</t>
        </is>
      </c>
      <c r="B488" t="inlineStr">
        <is>
          <t>Legal 500</t>
        </is>
      </c>
      <c r="C488" t="inlineStr">
        <is>
          <t>Tier 3</t>
        </is>
      </c>
      <c r="D488" t="inlineStr">
        <is>
          <t>Bird &amp; Bird</t>
        </is>
      </c>
      <c r="E488" t="inlineStr">
        <is>
          <t>Bird &amp; Bird</t>
        </is>
      </c>
    </row>
    <row r="489">
      <c r="A489" t="inlineStr">
        <is>
          <t>IT / TMT</t>
        </is>
      </c>
      <c r="B489" t="inlineStr">
        <is>
          <t>Legal 500</t>
        </is>
      </c>
      <c r="C489" t="inlineStr">
        <is>
          <t>Tier 3</t>
        </is>
      </c>
      <c r="D489" t="inlineStr">
        <is>
          <t>CMS Wistrand</t>
        </is>
      </c>
      <c r="E489" t="inlineStr">
        <is>
          <t>CMS Wistrand</t>
        </is>
      </c>
    </row>
    <row r="490">
      <c r="A490" t="inlineStr">
        <is>
          <t>IT / TMT</t>
        </is>
      </c>
      <c r="B490" t="inlineStr">
        <is>
          <t>Legal 500</t>
        </is>
      </c>
      <c r="C490" t="inlineStr">
        <is>
          <t>Tier 3</t>
        </is>
      </c>
      <c r="D490" t="inlineStr">
        <is>
          <t>DLA Piper</t>
        </is>
      </c>
      <c r="E490" t="inlineStr">
        <is>
          <t>DLA Piper Sweden</t>
        </is>
      </c>
    </row>
    <row r="491">
      <c r="A491" t="inlineStr">
        <is>
          <t>IT / TMT</t>
        </is>
      </c>
      <c r="B491" t="inlineStr">
        <is>
          <t>Legal 500</t>
        </is>
      </c>
      <c r="C491" t="inlineStr">
        <is>
          <t>Tier 3</t>
        </is>
      </c>
      <c r="D491" t="inlineStr">
        <is>
          <t>Fylgia</t>
        </is>
      </c>
      <c r="E491" t="inlineStr">
        <is>
          <t>Advokatfirman Fylgia KB</t>
        </is>
      </c>
    </row>
    <row r="492">
      <c r="A492" t="inlineStr">
        <is>
          <t>IT / TMT</t>
        </is>
      </c>
      <c r="B492" t="inlineStr">
        <is>
          <t>Legal 500</t>
        </is>
      </c>
      <c r="C492" t="inlineStr">
        <is>
          <t>Tier 3</t>
        </is>
      </c>
      <c r="D492" t="inlineStr">
        <is>
          <t>Lindahl</t>
        </is>
      </c>
      <c r="E492" t="inlineStr">
        <is>
          <t>Advokatfirman Lindahl KB</t>
        </is>
      </c>
    </row>
    <row r="493">
      <c r="A493" t="inlineStr">
        <is>
          <t>IT / TMT</t>
        </is>
      </c>
      <c r="B493" t="inlineStr">
        <is>
          <t>Legal 500</t>
        </is>
      </c>
      <c r="C493" t="inlineStr">
        <is>
          <t>Tier 3</t>
        </is>
      </c>
      <c r="D493" t="inlineStr">
        <is>
          <t>Magnusson</t>
        </is>
      </c>
      <c r="E493" t="inlineStr">
        <is>
          <t>Magnusson</t>
        </is>
      </c>
    </row>
    <row r="494">
      <c r="A494" t="inlineStr">
        <is>
          <t>IT / TMT</t>
        </is>
      </c>
      <c r="B494" t="inlineStr">
        <is>
          <t>Legal 500</t>
        </is>
      </c>
      <c r="C494" t="inlineStr">
        <is>
          <t>Tier 3</t>
        </is>
      </c>
      <c r="D494" t="inlineStr">
        <is>
          <t>Roschier</t>
        </is>
      </c>
      <c r="E494" t="inlineStr">
        <is>
          <t>Roschier</t>
        </is>
      </c>
    </row>
    <row r="495">
      <c r="A495" t="inlineStr">
        <is>
          <t>IT / TMT</t>
        </is>
      </c>
      <c r="B495" t="inlineStr">
        <is>
          <t>Legal 500</t>
        </is>
      </c>
      <c r="C495" t="inlineStr">
        <is>
          <t>Tier 3</t>
        </is>
      </c>
      <c r="D495" t="inlineStr">
        <is>
          <t>TM &amp; Partners</t>
        </is>
      </c>
      <c r="E495" t="inlineStr">
        <is>
          <t>TM &amp; Partners</t>
        </is>
      </c>
    </row>
    <row r="496">
      <c r="A496" t="inlineStr">
        <is>
          <t>IT / TMT</t>
        </is>
      </c>
      <c r="B496" t="inlineStr">
        <is>
          <t>Legal 500</t>
        </is>
      </c>
      <c r="C496" t="inlineStr">
        <is>
          <t>Tier 3</t>
        </is>
      </c>
      <c r="D496" t="inlineStr">
        <is>
          <t>Synch</t>
        </is>
      </c>
      <c r="E496" t="inlineStr">
        <is>
          <t>Synch Law AB</t>
        </is>
      </c>
    </row>
    <row r="497">
      <c r="A497" t="inlineStr">
        <is>
          <t>IT / TMT</t>
        </is>
      </c>
      <c r="B497" t="inlineStr">
        <is>
          <t>Legal 500</t>
        </is>
      </c>
      <c r="C497" t="inlineStr">
        <is>
          <t>Tier 4</t>
        </is>
      </c>
      <c r="D497" t="inlineStr">
        <is>
          <t>Eversheds Sutherland</t>
        </is>
      </c>
      <c r="E497" t="inlineStr">
        <is>
          <t>Eversheds Sutherland</t>
        </is>
      </c>
    </row>
    <row r="498">
      <c r="A498" t="inlineStr">
        <is>
          <t>IT / TMT</t>
        </is>
      </c>
      <c r="B498" t="inlineStr">
        <is>
          <t>Legal 500</t>
        </is>
      </c>
      <c r="C498" t="inlineStr">
        <is>
          <t>Tier 4</t>
        </is>
      </c>
      <c r="D498" t="inlineStr">
        <is>
          <t>Schjødt</t>
        </is>
      </c>
      <c r="E498" t="inlineStr">
        <is>
          <t>Advokatfirman Schjødt</t>
        </is>
      </c>
    </row>
    <row r="499">
      <c r="A499" t="inlineStr">
        <is>
          <t>IT / TMT</t>
        </is>
      </c>
      <c r="B499" t="inlineStr">
        <is>
          <t>Legal 500</t>
        </is>
      </c>
      <c r="C499" t="inlineStr">
        <is>
          <t>Tier 4</t>
        </is>
      </c>
      <c r="D499" t="inlineStr">
        <is>
          <t>Affärsadvokaterna i Sverige AB</t>
        </is>
      </c>
      <c r="E499" t="inlineStr">
        <is>
          <t>Affärsadvokaterna i Sverige AB</t>
        </is>
      </c>
    </row>
    <row r="500">
      <c r="A500" t="inlineStr">
        <is>
          <t>Data protection</t>
        </is>
      </c>
      <c r="B500" t="inlineStr">
        <is>
          <t>Legal 500</t>
        </is>
      </c>
      <c r="C500" t="inlineStr">
        <is>
          <t>Tier 1</t>
        </is>
      </c>
      <c r="D500" t="inlineStr">
        <is>
          <t>Cederquist</t>
        </is>
      </c>
      <c r="E500" t="inlineStr">
        <is>
          <t>Advokatfirman Cederquist KB</t>
        </is>
      </c>
    </row>
    <row r="501">
      <c r="A501" t="inlineStr">
        <is>
          <t>Data protection</t>
        </is>
      </c>
      <c r="B501" t="inlineStr">
        <is>
          <t>Legal 500</t>
        </is>
      </c>
      <c r="C501" t="inlineStr">
        <is>
          <t>Tier 1</t>
        </is>
      </c>
      <c r="D501" t="inlineStr">
        <is>
          <t>Cirio</t>
        </is>
      </c>
      <c r="E501" t="inlineStr">
        <is>
          <t>Cirio Advokatbyrå AB</t>
        </is>
      </c>
    </row>
    <row r="502">
      <c r="A502" t="inlineStr">
        <is>
          <t>Data protection</t>
        </is>
      </c>
      <c r="B502" t="inlineStr">
        <is>
          <t>Legal 500</t>
        </is>
      </c>
      <c r="C502" t="inlineStr">
        <is>
          <t>Tier 1</t>
        </is>
      </c>
      <c r="D502" t="inlineStr">
        <is>
          <t>Delphi</t>
        </is>
      </c>
      <c r="E502" t="inlineStr">
        <is>
          <t>Advokatfirman Delphi</t>
        </is>
      </c>
    </row>
    <row r="503">
      <c r="A503" t="inlineStr">
        <is>
          <t>Data protection</t>
        </is>
      </c>
      <c r="B503" t="inlineStr">
        <is>
          <t>Legal 500</t>
        </is>
      </c>
      <c r="C503" t="inlineStr">
        <is>
          <t>Tier 1</t>
        </is>
      </c>
      <c r="D503" t="inlineStr">
        <is>
          <t>Kahn Pedersen</t>
        </is>
      </c>
      <c r="E503" t="inlineStr">
        <is>
          <t>Advokatfirman Kahn Pedersen KB</t>
        </is>
      </c>
    </row>
    <row r="504">
      <c r="A504" t="inlineStr">
        <is>
          <t>Data protection</t>
        </is>
      </c>
      <c r="B504" t="inlineStr">
        <is>
          <t>Legal 500</t>
        </is>
      </c>
      <c r="C504" t="inlineStr">
        <is>
          <t>Tier 1</t>
        </is>
      </c>
      <c r="D504" t="inlineStr">
        <is>
          <t>Mannheimer Swartling</t>
        </is>
      </c>
      <c r="E504" t="inlineStr">
        <is>
          <t>Mannheimer Swartling</t>
        </is>
      </c>
    </row>
    <row r="505">
      <c r="A505" t="inlineStr">
        <is>
          <t>Data protection</t>
        </is>
      </c>
      <c r="B505" t="inlineStr">
        <is>
          <t>Legal 500</t>
        </is>
      </c>
      <c r="C505" t="inlineStr">
        <is>
          <t>Tier 1</t>
        </is>
      </c>
      <c r="D505" t="inlineStr">
        <is>
          <t>Setterwalls</t>
        </is>
      </c>
      <c r="E505" t="inlineStr">
        <is>
          <t>Setterwalls</t>
        </is>
      </c>
    </row>
    <row r="506">
      <c r="A506" t="inlineStr">
        <is>
          <t>Data protection</t>
        </is>
      </c>
      <c r="B506" t="inlineStr">
        <is>
          <t>Legal 500</t>
        </is>
      </c>
      <c r="C506" t="inlineStr">
        <is>
          <t>Tier 2</t>
        </is>
      </c>
      <c r="D506" t="inlineStr">
        <is>
          <t>Hellström</t>
        </is>
      </c>
      <c r="E506" t="inlineStr">
        <is>
          <t>Hellström Law</t>
        </is>
      </c>
    </row>
    <row r="507">
      <c r="A507" t="inlineStr">
        <is>
          <t>Data protection</t>
        </is>
      </c>
      <c r="B507" t="inlineStr">
        <is>
          <t>Legal 500</t>
        </is>
      </c>
      <c r="C507" t="inlineStr">
        <is>
          <t>Tier 2</t>
        </is>
      </c>
      <c r="D507" t="inlineStr">
        <is>
          <t>Roschier</t>
        </is>
      </c>
      <c r="E507" t="inlineStr">
        <is>
          <t>Roschier</t>
        </is>
      </c>
    </row>
    <row r="508">
      <c r="A508" t="inlineStr">
        <is>
          <t>Data protection</t>
        </is>
      </c>
      <c r="B508" t="inlineStr">
        <is>
          <t>Legal 500</t>
        </is>
      </c>
      <c r="C508" t="inlineStr">
        <is>
          <t>Tier 2</t>
        </is>
      </c>
      <c r="D508" t="inlineStr">
        <is>
          <t>Snellman</t>
        </is>
      </c>
      <c r="E508" t="inlineStr">
        <is>
          <t>Snellman</t>
        </is>
      </c>
    </row>
    <row r="509">
      <c r="A509" t="inlineStr">
        <is>
          <t>Data protection</t>
        </is>
      </c>
      <c r="B509" t="inlineStr">
        <is>
          <t>Legal 500</t>
        </is>
      </c>
      <c r="C509" t="inlineStr">
        <is>
          <t>Tier 2</t>
        </is>
      </c>
      <c r="D509" t="inlineStr">
        <is>
          <t>TIME DANOWSKY Advokatbyrå AB</t>
        </is>
      </c>
      <c r="E509" t="inlineStr">
        <is>
          <t>TIME DANOWSKY Advokatbyrå AB</t>
        </is>
      </c>
    </row>
    <row r="510">
      <c r="A510" t="inlineStr">
        <is>
          <t>Data protection</t>
        </is>
      </c>
      <c r="B510" t="inlineStr">
        <is>
          <t>Legal 500</t>
        </is>
      </c>
      <c r="C510" t="inlineStr">
        <is>
          <t>Tier 2</t>
        </is>
      </c>
      <c r="D510" t="inlineStr">
        <is>
          <t>Vinge</t>
        </is>
      </c>
      <c r="E510" t="inlineStr">
        <is>
          <t>Advokatfirman Vinge KB</t>
        </is>
      </c>
    </row>
    <row r="511">
      <c r="A511" t="inlineStr">
        <is>
          <t>Data protection</t>
        </is>
      </c>
      <c r="B511" t="inlineStr">
        <is>
          <t>Legal 500</t>
        </is>
      </c>
      <c r="C511" t="inlineStr">
        <is>
          <t>Tier 2</t>
        </is>
      </c>
      <c r="D511" t="inlineStr">
        <is>
          <t>edpLaw</t>
        </is>
      </c>
      <c r="E511" t="inlineStr">
        <is>
          <t>edpLaw</t>
        </is>
      </c>
    </row>
    <row r="512">
      <c r="A512" t="inlineStr">
        <is>
          <t>Data protection</t>
        </is>
      </c>
      <c r="B512" t="inlineStr">
        <is>
          <t>Legal 500</t>
        </is>
      </c>
      <c r="C512" t="inlineStr">
        <is>
          <t>Tier 3</t>
        </is>
      </c>
      <c r="D512" t="inlineStr">
        <is>
          <t>Bird &amp; Bird</t>
        </is>
      </c>
      <c r="E512" t="inlineStr">
        <is>
          <t>Bird &amp; Bird</t>
        </is>
      </c>
    </row>
    <row r="513">
      <c r="A513" t="inlineStr">
        <is>
          <t>Data protection</t>
        </is>
      </c>
      <c r="B513" t="inlineStr">
        <is>
          <t>Legal 500</t>
        </is>
      </c>
      <c r="C513" t="inlineStr">
        <is>
          <t>Tier 3</t>
        </is>
      </c>
      <c r="D513" t="inlineStr">
        <is>
          <t>DLA Piper</t>
        </is>
      </c>
      <c r="E513" t="inlineStr">
        <is>
          <t>DLA Piper Sweden</t>
        </is>
      </c>
    </row>
    <row r="514">
      <c r="A514" t="inlineStr">
        <is>
          <t>Data protection</t>
        </is>
      </c>
      <c r="B514" t="inlineStr">
        <is>
          <t>Legal 500</t>
        </is>
      </c>
      <c r="C514" t="inlineStr">
        <is>
          <t>Tier 3</t>
        </is>
      </c>
      <c r="D514" t="inlineStr">
        <is>
          <t>Eversheds Sutherland</t>
        </is>
      </c>
      <c r="E514" t="inlineStr">
        <is>
          <t>Eversheds Sutherland</t>
        </is>
      </c>
    </row>
    <row r="515">
      <c r="A515" t="inlineStr">
        <is>
          <t>Data protection</t>
        </is>
      </c>
      <c r="B515" t="inlineStr">
        <is>
          <t>Legal 500</t>
        </is>
      </c>
      <c r="C515" t="inlineStr">
        <is>
          <t>Tier 3</t>
        </is>
      </c>
      <c r="D515" t="inlineStr">
        <is>
          <t>Fylgia</t>
        </is>
      </c>
      <c r="E515" t="inlineStr">
        <is>
          <t>Advokatfirman Fylgia KB</t>
        </is>
      </c>
    </row>
    <row r="516">
      <c r="A516" t="inlineStr">
        <is>
          <t>Data protection</t>
        </is>
      </c>
      <c r="B516" t="inlineStr">
        <is>
          <t>Legal 500</t>
        </is>
      </c>
      <c r="C516" t="inlineStr">
        <is>
          <t>Tier 3</t>
        </is>
      </c>
      <c r="D516" t="inlineStr">
        <is>
          <t>Gernandt &amp; Danielsson</t>
        </is>
      </c>
      <c r="E516" t="inlineStr">
        <is>
          <t>Gernandt &amp; Danielsson Advokatbyrå</t>
        </is>
      </c>
    </row>
    <row r="517">
      <c r="A517" t="inlineStr">
        <is>
          <t>Data protection</t>
        </is>
      </c>
      <c r="B517" t="inlineStr">
        <is>
          <t>Legal 500</t>
        </is>
      </c>
      <c r="C517" t="inlineStr">
        <is>
          <t>Tier 3</t>
        </is>
      </c>
      <c r="D517" t="inlineStr">
        <is>
          <t>Lindahl</t>
        </is>
      </c>
      <c r="E517" t="inlineStr">
        <is>
          <t>Advokatfirman Lindahl KB</t>
        </is>
      </c>
    </row>
    <row r="518">
      <c r="A518" t="inlineStr">
        <is>
          <t>Data protection</t>
        </is>
      </c>
      <c r="B518" t="inlineStr">
        <is>
          <t>Legal 500</t>
        </is>
      </c>
      <c r="C518" t="inlineStr">
        <is>
          <t>Tier 3</t>
        </is>
      </c>
      <c r="D518" t="inlineStr">
        <is>
          <t>Magnusson</t>
        </is>
      </c>
      <c r="E518" t="inlineStr">
        <is>
          <t>Magnusson</t>
        </is>
      </c>
    </row>
    <row r="519">
      <c r="A519" t="inlineStr">
        <is>
          <t>Data protection</t>
        </is>
      </c>
      <c r="B519" t="inlineStr">
        <is>
          <t>Legal 500</t>
        </is>
      </c>
      <c r="C519" t="inlineStr">
        <is>
          <t>Tier 3</t>
        </is>
      </c>
      <c r="D519" t="inlineStr">
        <is>
          <t>MAQS</t>
        </is>
      </c>
      <c r="E519" t="inlineStr">
        <is>
          <t>MAQS Advokatbyrå</t>
        </is>
      </c>
    </row>
    <row r="520">
      <c r="A520" t="inlineStr">
        <is>
          <t>Data protection</t>
        </is>
      </c>
      <c r="B520" t="inlineStr">
        <is>
          <t>Legal 500</t>
        </is>
      </c>
      <c r="C520" t="inlineStr">
        <is>
          <t>Tier 3</t>
        </is>
      </c>
      <c r="D520" t="inlineStr">
        <is>
          <t>TM &amp; Partners</t>
        </is>
      </c>
      <c r="E520" t="inlineStr">
        <is>
          <t>TM &amp; Partners</t>
        </is>
      </c>
    </row>
    <row r="521">
      <c r="A521" t="inlineStr">
        <is>
          <t>Data protection</t>
        </is>
      </c>
      <c r="B521" t="inlineStr">
        <is>
          <t>Legal 500</t>
        </is>
      </c>
      <c r="C521" t="inlineStr">
        <is>
          <t>Tier 3</t>
        </is>
      </c>
      <c r="D521" t="inlineStr">
        <is>
          <t>Synch</t>
        </is>
      </c>
      <c r="E521" t="inlineStr">
        <is>
          <t>Synch Law AB</t>
        </is>
      </c>
    </row>
    <row r="522">
      <c r="A522" t="inlineStr">
        <is>
          <t>Data protection</t>
        </is>
      </c>
      <c r="B522" t="inlineStr">
        <is>
          <t>Legal 500</t>
        </is>
      </c>
      <c r="C522" t="inlineStr">
        <is>
          <t>Firms to watch</t>
        </is>
      </c>
      <c r="D522" t="inlineStr">
        <is>
          <t>CMS Wistrand</t>
        </is>
      </c>
      <c r="E522" t="inlineStr">
        <is>
          <t>CMS Wistrand</t>
        </is>
      </c>
    </row>
    <row r="523">
      <c r="A523" t="inlineStr">
        <is>
          <t>Data protection</t>
        </is>
      </c>
      <c r="B523" t="inlineStr">
        <is>
          <t>Legal 500</t>
        </is>
      </c>
      <c r="C523" t="inlineStr">
        <is>
          <t>Firms to watch</t>
        </is>
      </c>
      <c r="D523" t="inlineStr">
        <is>
          <t>Affärsadvokaterna i Sverige AB</t>
        </is>
      </c>
      <c r="E523" t="inlineStr">
        <is>
          <t>Affärsadvokaterna i Sverige AB</t>
        </is>
      </c>
    </row>
    <row r="524">
      <c r="A524" t="inlineStr">
        <is>
          <t>Fintech</t>
        </is>
      </c>
      <c r="B524" t="inlineStr">
        <is>
          <t>Legal 500</t>
        </is>
      </c>
      <c r="C524" t="inlineStr">
        <is>
          <t>Tier 1</t>
        </is>
      </c>
      <c r="D524" t="inlineStr">
        <is>
          <t>Mannheimer Swartling</t>
        </is>
      </c>
      <c r="E524" t="inlineStr">
        <is>
          <t>Mannheimer Swartling</t>
        </is>
      </c>
    </row>
    <row r="525">
      <c r="A525" t="inlineStr">
        <is>
          <t>Fintech</t>
        </is>
      </c>
      <c r="B525" t="inlineStr">
        <is>
          <t>Legal 500</t>
        </is>
      </c>
      <c r="C525" t="inlineStr">
        <is>
          <t>Tier 1</t>
        </is>
      </c>
      <c r="D525" t="inlineStr">
        <is>
          <t>Setterwalls</t>
        </is>
      </c>
      <c r="E525" t="inlineStr">
        <is>
          <t>Setterwalls</t>
        </is>
      </c>
    </row>
    <row r="526">
      <c r="A526" t="inlineStr">
        <is>
          <t>Fintech</t>
        </is>
      </c>
      <c r="B526" t="inlineStr">
        <is>
          <t>Legal 500</t>
        </is>
      </c>
      <c r="C526" t="inlineStr">
        <is>
          <t>Tier 1</t>
        </is>
      </c>
      <c r="D526" t="inlineStr">
        <is>
          <t>Vinge</t>
        </is>
      </c>
      <c r="E526" t="inlineStr">
        <is>
          <t>Advokatfirman Vinge KB</t>
        </is>
      </c>
    </row>
    <row r="527">
      <c r="A527" t="inlineStr">
        <is>
          <t>Fintech</t>
        </is>
      </c>
      <c r="B527" t="inlineStr">
        <is>
          <t>Legal 500</t>
        </is>
      </c>
      <c r="C527" t="inlineStr">
        <is>
          <t>Tier 2</t>
        </is>
      </c>
      <c r="D527" t="inlineStr">
        <is>
          <t>Cederquist</t>
        </is>
      </c>
      <c r="E527" t="inlineStr">
        <is>
          <t>Advokatfirman Cederquist KB</t>
        </is>
      </c>
    </row>
    <row r="528">
      <c r="A528" t="inlineStr">
        <is>
          <t>Fintech</t>
        </is>
      </c>
      <c r="B528" t="inlineStr">
        <is>
          <t>Legal 500</t>
        </is>
      </c>
      <c r="C528" t="inlineStr">
        <is>
          <t>Tier 2</t>
        </is>
      </c>
      <c r="D528" t="inlineStr">
        <is>
          <t>Gernandt &amp; Danielsson</t>
        </is>
      </c>
      <c r="E528" t="inlineStr">
        <is>
          <t>Gernandt &amp; Danielsson Advokatbyrå</t>
        </is>
      </c>
    </row>
    <row r="529">
      <c r="A529" t="inlineStr">
        <is>
          <t>Fintech</t>
        </is>
      </c>
      <c r="B529" t="inlineStr">
        <is>
          <t>Legal 500</t>
        </is>
      </c>
      <c r="C529" t="inlineStr">
        <is>
          <t>Tier 3</t>
        </is>
      </c>
      <c r="D529" t="inlineStr">
        <is>
          <t>Delphi</t>
        </is>
      </c>
      <c r="E529" t="inlineStr">
        <is>
          <t>Advokatfirman Delphi</t>
        </is>
      </c>
    </row>
    <row r="530">
      <c r="A530" t="inlineStr">
        <is>
          <t>Fintech</t>
        </is>
      </c>
      <c r="B530" t="inlineStr">
        <is>
          <t>Legal 500</t>
        </is>
      </c>
      <c r="C530" t="inlineStr">
        <is>
          <t>Tier 3</t>
        </is>
      </c>
      <c r="D530" t="inlineStr">
        <is>
          <t>Eversheds Sutherland</t>
        </is>
      </c>
      <c r="E530" t="inlineStr">
        <is>
          <t>Eversheds Sutherland</t>
        </is>
      </c>
    </row>
    <row r="531">
      <c r="A531" t="inlineStr">
        <is>
          <t>Fintech</t>
        </is>
      </c>
      <c r="B531" t="inlineStr">
        <is>
          <t>Legal 500</t>
        </is>
      </c>
      <c r="C531" t="inlineStr">
        <is>
          <t>Tier 3</t>
        </is>
      </c>
      <c r="D531" t="inlineStr">
        <is>
          <t>Hammarskiöld</t>
        </is>
      </c>
      <c r="E531" t="inlineStr">
        <is>
          <t>Hammarskiöld</t>
        </is>
      </c>
    </row>
    <row r="532">
      <c r="A532" t="inlineStr">
        <is>
          <t>Fintech</t>
        </is>
      </c>
      <c r="B532" t="inlineStr">
        <is>
          <t>Legal 500</t>
        </is>
      </c>
      <c r="C532" t="inlineStr">
        <is>
          <t>Tier 3</t>
        </is>
      </c>
      <c r="D532" t="inlineStr">
        <is>
          <t>Harvest</t>
        </is>
      </c>
      <c r="E532" t="inlineStr">
        <is>
          <t>Harvest Advokatbyrå</t>
        </is>
      </c>
    </row>
    <row r="533">
      <c r="A533" t="inlineStr">
        <is>
          <t>Fintech</t>
        </is>
      </c>
      <c r="B533" t="inlineStr">
        <is>
          <t>Legal 500</t>
        </is>
      </c>
      <c r="C533" t="inlineStr">
        <is>
          <t>Tier 3</t>
        </is>
      </c>
      <c r="D533" t="inlineStr">
        <is>
          <t>Roschier</t>
        </is>
      </c>
      <c r="E533" t="inlineStr">
        <is>
          <t>Roschier</t>
        </is>
      </c>
    </row>
    <row r="534">
      <c r="A534" t="inlineStr">
        <is>
          <t>Fintech</t>
        </is>
      </c>
      <c r="B534" t="inlineStr">
        <is>
          <t>Legal 500</t>
        </is>
      </c>
      <c r="C534" t="inlineStr">
        <is>
          <t>Tier 3</t>
        </is>
      </c>
      <c r="D534" t="inlineStr">
        <is>
          <t>Snellman</t>
        </is>
      </c>
      <c r="E534" t="inlineStr">
        <is>
          <t>Snellman</t>
        </is>
      </c>
    </row>
    <row r="535">
      <c r="A535" t="inlineStr">
        <is>
          <t>Fintech</t>
        </is>
      </c>
      <c r="B535" t="inlineStr">
        <is>
          <t>Legal 500</t>
        </is>
      </c>
      <c r="C535" t="inlineStr">
        <is>
          <t>Tier 3</t>
        </is>
      </c>
      <c r="D535" t="inlineStr">
        <is>
          <t>Synch</t>
        </is>
      </c>
      <c r="E535" t="inlineStr">
        <is>
          <t>Synch Law AB</t>
        </is>
      </c>
    </row>
    <row r="536">
      <c r="A536" t="inlineStr">
        <is>
          <t>Fintech</t>
        </is>
      </c>
      <c r="B536" t="inlineStr">
        <is>
          <t>Legal 500</t>
        </is>
      </c>
      <c r="C536" t="inlineStr">
        <is>
          <t>Tier 4</t>
        </is>
      </c>
      <c r="D536" t="inlineStr">
        <is>
          <t>DLA Piper</t>
        </is>
      </c>
      <c r="E536" t="inlineStr">
        <is>
          <t>DLA Piper Sweden</t>
        </is>
      </c>
    </row>
    <row r="537">
      <c r="A537" t="inlineStr">
        <is>
          <t>Fintech</t>
        </is>
      </c>
      <c r="B537" t="inlineStr">
        <is>
          <t>Legal 500</t>
        </is>
      </c>
      <c r="C537" t="inlineStr">
        <is>
          <t>Tier 4</t>
        </is>
      </c>
      <c r="D537" t="inlineStr">
        <is>
          <t>Magnusson</t>
        </is>
      </c>
      <c r="E537" t="inlineStr">
        <is>
          <t>Magnusson</t>
        </is>
      </c>
    </row>
    <row r="538">
      <c r="A538" t="inlineStr">
        <is>
          <t>Fintech</t>
        </is>
      </c>
      <c r="B538" t="inlineStr">
        <is>
          <t>Legal 500</t>
        </is>
      </c>
      <c r="C538" t="inlineStr">
        <is>
          <t>Tier 4</t>
        </is>
      </c>
      <c r="D538" t="inlineStr">
        <is>
          <t>TM &amp; Partners</t>
        </is>
      </c>
      <c r="E538" t="inlineStr">
        <is>
          <t>TM &amp; Partners</t>
        </is>
      </c>
    </row>
    <row r="539">
      <c r="A539" t="inlineStr">
        <is>
          <t>Energy</t>
        </is>
      </c>
      <c r="B539" t="inlineStr">
        <is>
          <t>Chambers</t>
        </is>
      </c>
      <c r="C539" t="inlineStr">
        <is>
          <t>Band 1</t>
        </is>
      </c>
      <c r="D539" t="inlineStr">
        <is>
          <t>Vinge</t>
        </is>
      </c>
      <c r="E539" t="inlineStr">
        <is>
          <t>Advokatfirman Vinge KB</t>
        </is>
      </c>
    </row>
    <row r="540">
      <c r="A540" t="inlineStr">
        <is>
          <t>Energy</t>
        </is>
      </c>
      <c r="B540" t="inlineStr">
        <is>
          <t>Chambers</t>
        </is>
      </c>
      <c r="C540" t="inlineStr">
        <is>
          <t>Band 1</t>
        </is>
      </c>
      <c r="D540" t="inlineStr">
        <is>
          <t>Mannheimer Swartling</t>
        </is>
      </c>
      <c r="E540" t="inlineStr">
        <is>
          <t>Mannheimer Swartling</t>
        </is>
      </c>
    </row>
    <row r="541">
      <c r="A541" t="inlineStr">
        <is>
          <t>Energy</t>
        </is>
      </c>
      <c r="B541" t="inlineStr">
        <is>
          <t>Chambers</t>
        </is>
      </c>
      <c r="C541" t="inlineStr">
        <is>
          <t>Band 1</t>
        </is>
      </c>
      <c r="D541" t="inlineStr">
        <is>
          <t>Setterwalls</t>
        </is>
      </c>
      <c r="E541" t="inlineStr">
        <is>
          <t>Setterwalls</t>
        </is>
      </c>
    </row>
    <row r="542">
      <c r="A542" t="inlineStr">
        <is>
          <t>Energy</t>
        </is>
      </c>
      <c r="B542" t="inlineStr">
        <is>
          <t>Chambers</t>
        </is>
      </c>
      <c r="C542" t="inlineStr">
        <is>
          <t>Band 2</t>
        </is>
      </c>
      <c r="D542" t="inlineStr">
        <is>
          <t>Cirio</t>
        </is>
      </c>
      <c r="E542" t="inlineStr">
        <is>
          <t>Cirio Advokatbyrå AB</t>
        </is>
      </c>
    </row>
    <row r="543">
      <c r="A543" t="inlineStr">
        <is>
          <t>Energy</t>
        </is>
      </c>
      <c r="B543" t="inlineStr">
        <is>
          <t>Chambers</t>
        </is>
      </c>
      <c r="C543" t="inlineStr">
        <is>
          <t>Band 2</t>
        </is>
      </c>
      <c r="D543" t="inlineStr">
        <is>
          <t>DLA Piper</t>
        </is>
      </c>
      <c r="E543" t="inlineStr">
        <is>
          <t>DLA Piper</t>
        </is>
      </c>
    </row>
    <row r="544">
      <c r="A544" t="inlineStr">
        <is>
          <t>Energy</t>
        </is>
      </c>
      <c r="B544" t="inlineStr">
        <is>
          <t>Chambers</t>
        </is>
      </c>
      <c r="C544" t="inlineStr">
        <is>
          <t>Band 3</t>
        </is>
      </c>
      <c r="D544" t="inlineStr">
        <is>
          <t>Lindahl</t>
        </is>
      </c>
      <c r="E544" t="inlineStr">
        <is>
          <t>Advokatfirman Lindahl</t>
        </is>
      </c>
    </row>
    <row r="545">
      <c r="A545" t="inlineStr">
        <is>
          <t>Energy</t>
        </is>
      </c>
      <c r="B545" t="inlineStr">
        <is>
          <t>Chambers</t>
        </is>
      </c>
      <c r="C545" t="inlineStr">
        <is>
          <t>Band 3</t>
        </is>
      </c>
      <c r="D545" t="inlineStr">
        <is>
          <t>Roschier</t>
        </is>
      </c>
      <c r="E545" t="inlineStr">
        <is>
          <t>Roschier</t>
        </is>
      </c>
    </row>
    <row r="546">
      <c r="A546" t="inlineStr">
        <is>
          <t>Energy</t>
        </is>
      </c>
      <c r="B546" t="inlineStr">
        <is>
          <t>Legal 500</t>
        </is>
      </c>
      <c r="C546" t="inlineStr">
        <is>
          <t>Tier 1</t>
        </is>
      </c>
      <c r="D546" t="inlineStr">
        <is>
          <t>Cirio</t>
        </is>
      </c>
      <c r="E546" t="inlineStr">
        <is>
          <t>Cirio Advokatbyrå AB</t>
        </is>
      </c>
    </row>
    <row r="547">
      <c r="A547" t="inlineStr">
        <is>
          <t>Energy</t>
        </is>
      </c>
      <c r="B547" t="inlineStr">
        <is>
          <t>Legal 500</t>
        </is>
      </c>
      <c r="C547" t="inlineStr">
        <is>
          <t>Tier 1</t>
        </is>
      </c>
      <c r="D547" t="inlineStr">
        <is>
          <t>Mannheimer Swartling</t>
        </is>
      </c>
      <c r="E547" t="inlineStr">
        <is>
          <t>Mannheimer Swartling</t>
        </is>
      </c>
    </row>
    <row r="548">
      <c r="A548" t="inlineStr">
        <is>
          <t>Energy</t>
        </is>
      </c>
      <c r="B548" t="inlineStr">
        <is>
          <t>Legal 500</t>
        </is>
      </c>
      <c r="C548" t="inlineStr">
        <is>
          <t>Tier 1</t>
        </is>
      </c>
      <c r="D548" t="inlineStr">
        <is>
          <t>Setterwalls</t>
        </is>
      </c>
      <c r="E548" t="inlineStr">
        <is>
          <t>Setterwalls</t>
        </is>
      </c>
    </row>
    <row r="549">
      <c r="A549" t="inlineStr">
        <is>
          <t>Energy</t>
        </is>
      </c>
      <c r="B549" t="inlineStr">
        <is>
          <t>Legal 500</t>
        </is>
      </c>
      <c r="C549" t="inlineStr">
        <is>
          <t>Tier 1</t>
        </is>
      </c>
      <c r="D549" t="inlineStr">
        <is>
          <t>Vinge</t>
        </is>
      </c>
      <c r="E549" t="inlineStr">
        <is>
          <t>Advokatfirman Vinge KB</t>
        </is>
      </c>
    </row>
    <row r="550">
      <c r="A550" t="inlineStr">
        <is>
          <t>Energy</t>
        </is>
      </c>
      <c r="B550" t="inlineStr">
        <is>
          <t>Legal 500</t>
        </is>
      </c>
      <c r="C550" t="inlineStr">
        <is>
          <t>Tier 2</t>
        </is>
      </c>
      <c r="D550" t="inlineStr">
        <is>
          <t>DLA Piper</t>
        </is>
      </c>
      <c r="E550" t="inlineStr">
        <is>
          <t>DLA Piper Sweden</t>
        </is>
      </c>
    </row>
    <row r="551">
      <c r="A551" t="inlineStr">
        <is>
          <t>Energy</t>
        </is>
      </c>
      <c r="B551" t="inlineStr">
        <is>
          <t>Legal 500</t>
        </is>
      </c>
      <c r="C551" t="inlineStr">
        <is>
          <t>Tier 2</t>
        </is>
      </c>
      <c r="D551" t="inlineStr">
        <is>
          <t>Foyen</t>
        </is>
      </c>
      <c r="E551" t="inlineStr">
        <is>
          <t>Foyen Advokatfirma</t>
        </is>
      </c>
    </row>
    <row r="552">
      <c r="A552" t="inlineStr">
        <is>
          <t>Energy</t>
        </is>
      </c>
      <c r="B552" t="inlineStr">
        <is>
          <t>Legal 500</t>
        </is>
      </c>
      <c r="C552" t="inlineStr">
        <is>
          <t>Tier 2</t>
        </is>
      </c>
      <c r="D552" t="inlineStr">
        <is>
          <t>Lindahl</t>
        </is>
      </c>
      <c r="E552" t="inlineStr">
        <is>
          <t>Advokatfirman Lindahl KB</t>
        </is>
      </c>
    </row>
    <row r="553">
      <c r="A553" t="inlineStr">
        <is>
          <t>Energy</t>
        </is>
      </c>
      <c r="B553" t="inlineStr">
        <is>
          <t>Legal 500</t>
        </is>
      </c>
      <c r="C553" t="inlineStr">
        <is>
          <t>Tier 2</t>
        </is>
      </c>
      <c r="D553" t="inlineStr">
        <is>
          <t>MAQS</t>
        </is>
      </c>
      <c r="E553" t="inlineStr">
        <is>
          <t>MAQS Advokatbyrå</t>
        </is>
      </c>
    </row>
    <row r="554">
      <c r="A554" t="inlineStr">
        <is>
          <t>Energy</t>
        </is>
      </c>
      <c r="B554" t="inlineStr">
        <is>
          <t>Legal 500</t>
        </is>
      </c>
      <c r="C554" t="inlineStr">
        <is>
          <t>Tier 2</t>
        </is>
      </c>
      <c r="D554" t="inlineStr">
        <is>
          <t>Roschier</t>
        </is>
      </c>
      <c r="E554" t="inlineStr">
        <is>
          <t>Roschier</t>
        </is>
      </c>
    </row>
    <row r="555">
      <c r="A555" t="inlineStr">
        <is>
          <t>Energy</t>
        </is>
      </c>
      <c r="B555" t="inlineStr">
        <is>
          <t>Legal 500</t>
        </is>
      </c>
      <c r="C555" t="inlineStr">
        <is>
          <t>Tier 3</t>
        </is>
      </c>
      <c r="D555" t="inlineStr">
        <is>
          <t>CMS Wistrand</t>
        </is>
      </c>
      <c r="E555" t="inlineStr">
        <is>
          <t>CMS Wistrand</t>
        </is>
      </c>
    </row>
    <row r="556">
      <c r="A556" t="inlineStr">
        <is>
          <t>Energy</t>
        </is>
      </c>
      <c r="B556" t="inlineStr">
        <is>
          <t>Legal 500</t>
        </is>
      </c>
      <c r="C556" t="inlineStr">
        <is>
          <t>Tier 3</t>
        </is>
      </c>
      <c r="D556" t="inlineStr">
        <is>
          <t>Eversheds Sutherland</t>
        </is>
      </c>
      <c r="E556" t="inlineStr">
        <is>
          <t>Eversheds Sutherland</t>
        </is>
      </c>
    </row>
    <row r="557">
      <c r="A557" t="inlineStr">
        <is>
          <t>Energy</t>
        </is>
      </c>
      <c r="B557" t="inlineStr">
        <is>
          <t>Legal 500</t>
        </is>
      </c>
      <c r="C557" t="inlineStr">
        <is>
          <t>Tier 3</t>
        </is>
      </c>
      <c r="D557" t="inlineStr">
        <is>
          <t>Hammarskiöld</t>
        </is>
      </c>
      <c r="E557" t="inlineStr">
        <is>
          <t>Hammarskiöld</t>
        </is>
      </c>
    </row>
    <row r="558">
      <c r="A558" t="inlineStr">
        <is>
          <t>Energy</t>
        </is>
      </c>
      <c r="B558" t="inlineStr">
        <is>
          <t>Legal 500</t>
        </is>
      </c>
      <c r="C558" t="inlineStr">
        <is>
          <t>Tier 3</t>
        </is>
      </c>
      <c r="D558" t="inlineStr">
        <is>
          <t>Hellström</t>
        </is>
      </c>
      <c r="E558" t="inlineStr">
        <is>
          <t>Hellström Law</t>
        </is>
      </c>
    </row>
    <row r="559">
      <c r="A559" t="inlineStr">
        <is>
          <t>Energy</t>
        </is>
      </c>
      <c r="B559" t="inlineStr">
        <is>
          <t>Legal 500</t>
        </is>
      </c>
      <c r="C559" t="inlineStr">
        <is>
          <t>Tier 3</t>
        </is>
      </c>
      <c r="D559" t="inlineStr">
        <is>
          <t>Morris Law</t>
        </is>
      </c>
      <c r="E559" t="inlineStr">
        <is>
          <t>Morris Law</t>
        </is>
      </c>
    </row>
    <row r="560">
      <c r="A560" t="inlineStr">
        <is>
          <t>Environment</t>
        </is>
      </c>
      <c r="B560" t="inlineStr">
        <is>
          <t>Chambers</t>
        </is>
      </c>
      <c r="C560" t="inlineStr">
        <is>
          <t>Band 1</t>
        </is>
      </c>
      <c r="D560" t="inlineStr">
        <is>
          <t>Fröberg &amp; Lundholm</t>
        </is>
      </c>
      <c r="E560" t="inlineStr">
        <is>
          <t>Fröberg &amp; Lundholm Advokatbyrå</t>
        </is>
      </c>
    </row>
    <row r="561">
      <c r="A561" t="inlineStr">
        <is>
          <t>Environment</t>
        </is>
      </c>
      <c r="B561" t="inlineStr">
        <is>
          <t>Chambers</t>
        </is>
      </c>
      <c r="C561" t="inlineStr">
        <is>
          <t>Band 1</t>
        </is>
      </c>
      <c r="D561" t="inlineStr">
        <is>
          <t>Mannheimer Swartling</t>
        </is>
      </c>
      <c r="E561" t="inlineStr">
        <is>
          <t>Mannheimer Swartling</t>
        </is>
      </c>
    </row>
    <row r="562">
      <c r="A562" t="inlineStr">
        <is>
          <t>Environment</t>
        </is>
      </c>
      <c r="B562" t="inlineStr">
        <is>
          <t>Chambers</t>
        </is>
      </c>
      <c r="C562" t="inlineStr">
        <is>
          <t>Band 1</t>
        </is>
      </c>
      <c r="D562" t="inlineStr">
        <is>
          <t>Setterwalls</t>
        </is>
      </c>
      <c r="E562" t="inlineStr">
        <is>
          <t>Setterwalls</t>
        </is>
      </c>
    </row>
    <row r="563">
      <c r="A563" t="inlineStr">
        <is>
          <t>Environment</t>
        </is>
      </c>
      <c r="B563" t="inlineStr">
        <is>
          <t>Chambers</t>
        </is>
      </c>
      <c r="C563" t="inlineStr">
        <is>
          <t>Band 2</t>
        </is>
      </c>
      <c r="D563" t="inlineStr">
        <is>
          <t>Vinge</t>
        </is>
      </c>
      <c r="E563" t="inlineStr">
        <is>
          <t>Advokatfirman Vinge KB</t>
        </is>
      </c>
    </row>
    <row r="564">
      <c r="A564" t="inlineStr">
        <is>
          <t>Environment</t>
        </is>
      </c>
      <c r="B564" t="inlineStr">
        <is>
          <t>Chambers</t>
        </is>
      </c>
      <c r="C564" t="inlineStr">
        <is>
          <t>Band 2</t>
        </is>
      </c>
      <c r="D564" t="inlineStr">
        <is>
          <t>Delphi</t>
        </is>
      </c>
      <c r="E564" t="inlineStr">
        <is>
          <t>Delphi</t>
        </is>
      </c>
    </row>
    <row r="565">
      <c r="A565" t="inlineStr">
        <is>
          <t>Environment</t>
        </is>
      </c>
      <c r="B565" t="inlineStr">
        <is>
          <t>Chambers</t>
        </is>
      </c>
      <c r="C565" t="inlineStr">
        <is>
          <t>Band 3</t>
        </is>
      </c>
      <c r="D565" t="inlineStr">
        <is>
          <t>Lindahl</t>
        </is>
      </c>
      <c r="E565" t="inlineStr">
        <is>
          <t>Advokatfirman Lindahl</t>
        </is>
      </c>
    </row>
    <row r="566">
      <c r="A566" t="inlineStr">
        <is>
          <t>Environment</t>
        </is>
      </c>
      <c r="B566" t="inlineStr">
        <is>
          <t>Chambers</t>
        </is>
      </c>
      <c r="C566" t="inlineStr">
        <is>
          <t>Band 3</t>
        </is>
      </c>
      <c r="D566" t="inlineStr">
        <is>
          <t>Advokatfirman Åberg &amp; Co AB</t>
        </is>
      </c>
      <c r="E566" t="inlineStr">
        <is>
          <t>Advokatfirman Åberg &amp; Co AB</t>
        </is>
      </c>
    </row>
    <row r="567">
      <c r="A567" t="inlineStr">
        <is>
          <t>Environment</t>
        </is>
      </c>
      <c r="B567" t="inlineStr">
        <is>
          <t>Chambers</t>
        </is>
      </c>
      <c r="C567" t="inlineStr">
        <is>
          <t>Band 3</t>
        </is>
      </c>
      <c r="D567" t="inlineStr">
        <is>
          <t>Alrutz' Advokatbyrå</t>
        </is>
      </c>
      <c r="E567" t="inlineStr">
        <is>
          <t>Alrutz' Advokatbyrå</t>
        </is>
      </c>
    </row>
    <row r="568">
      <c r="A568" t="inlineStr">
        <is>
          <t>Environment</t>
        </is>
      </c>
      <c r="B568" t="inlineStr">
        <is>
          <t>Legal 500</t>
        </is>
      </c>
      <c r="C568" t="inlineStr">
        <is>
          <t>Tier 1</t>
        </is>
      </c>
      <c r="D568" t="inlineStr">
        <is>
          <t>Mannheimer Swartling</t>
        </is>
      </c>
      <c r="E568" t="inlineStr">
        <is>
          <t>Mannheimer Swartling</t>
        </is>
      </c>
    </row>
    <row r="569">
      <c r="A569" t="inlineStr">
        <is>
          <t>Environment</t>
        </is>
      </c>
      <c r="B569" t="inlineStr">
        <is>
          <t>Legal 500</t>
        </is>
      </c>
      <c r="C569" t="inlineStr">
        <is>
          <t>Tier 1</t>
        </is>
      </c>
      <c r="D569" t="inlineStr">
        <is>
          <t>Setterwalls</t>
        </is>
      </c>
      <c r="E569" t="inlineStr">
        <is>
          <t>Setterwalls</t>
        </is>
      </c>
    </row>
    <row r="570">
      <c r="A570" t="inlineStr">
        <is>
          <t>Environment</t>
        </is>
      </c>
      <c r="B570" t="inlineStr">
        <is>
          <t>Legal 500</t>
        </is>
      </c>
      <c r="C570" t="inlineStr">
        <is>
          <t>Tier 2</t>
        </is>
      </c>
      <c r="D570" t="inlineStr">
        <is>
          <t>Delphi</t>
        </is>
      </c>
      <c r="E570" t="inlineStr">
        <is>
          <t>Advokatfirman Delphi</t>
        </is>
      </c>
    </row>
    <row r="571">
      <c r="A571" t="inlineStr">
        <is>
          <t>Environment</t>
        </is>
      </c>
      <c r="B571" t="inlineStr">
        <is>
          <t>Legal 500</t>
        </is>
      </c>
      <c r="C571" t="inlineStr">
        <is>
          <t>Tier 2</t>
        </is>
      </c>
      <c r="D571" t="inlineStr">
        <is>
          <t>Foyen</t>
        </is>
      </c>
      <c r="E571" t="inlineStr">
        <is>
          <t>Foyen Advokatfirma</t>
        </is>
      </c>
    </row>
    <row r="572">
      <c r="A572" t="inlineStr">
        <is>
          <t>Environment</t>
        </is>
      </c>
      <c r="B572" t="inlineStr">
        <is>
          <t>Legal 500</t>
        </is>
      </c>
      <c r="C572" t="inlineStr">
        <is>
          <t>Tier 2</t>
        </is>
      </c>
      <c r="D572" t="inlineStr">
        <is>
          <t>Lindahl</t>
        </is>
      </c>
      <c r="E572" t="inlineStr">
        <is>
          <t>Advokatfirman Lindahl KB</t>
        </is>
      </c>
    </row>
    <row r="573">
      <c r="A573" t="inlineStr">
        <is>
          <t>Environment</t>
        </is>
      </c>
      <c r="B573" t="inlineStr">
        <is>
          <t>Legal 500</t>
        </is>
      </c>
      <c r="C573" t="inlineStr">
        <is>
          <t>Tier 2</t>
        </is>
      </c>
      <c r="D573" t="inlineStr">
        <is>
          <t>Magnusson</t>
        </is>
      </c>
      <c r="E573" t="inlineStr">
        <is>
          <t>Magnusson</t>
        </is>
      </c>
    </row>
    <row r="574">
      <c r="A574" t="inlineStr">
        <is>
          <t>Environment</t>
        </is>
      </c>
      <c r="B574" t="inlineStr">
        <is>
          <t>Legal 500</t>
        </is>
      </c>
      <c r="C574" t="inlineStr">
        <is>
          <t>Tier 2</t>
        </is>
      </c>
      <c r="D574" t="inlineStr">
        <is>
          <t>Morris Law</t>
        </is>
      </c>
      <c r="E574" t="inlineStr">
        <is>
          <t>Morris Law</t>
        </is>
      </c>
    </row>
    <row r="575">
      <c r="A575" t="inlineStr">
        <is>
          <t>Environment</t>
        </is>
      </c>
      <c r="B575" t="inlineStr">
        <is>
          <t>Legal 500</t>
        </is>
      </c>
      <c r="C575" t="inlineStr">
        <is>
          <t>Tier 2</t>
        </is>
      </c>
      <c r="D575" t="inlineStr">
        <is>
          <t>Fröberg &amp; Lundholm</t>
        </is>
      </c>
      <c r="E575" t="inlineStr">
        <is>
          <t>Fröberg &amp; Lundholm Advokatbyrå</t>
        </is>
      </c>
    </row>
    <row r="576">
      <c r="A576" t="inlineStr">
        <is>
          <t>Environment</t>
        </is>
      </c>
      <c r="B576" t="inlineStr">
        <is>
          <t>Legal 500</t>
        </is>
      </c>
      <c r="C576" t="inlineStr">
        <is>
          <t>Tier 3</t>
        </is>
      </c>
      <c r="D576" t="inlineStr">
        <is>
          <t>DLA Piper</t>
        </is>
      </c>
      <c r="E576" t="inlineStr">
        <is>
          <t>DLA Piper Sweden</t>
        </is>
      </c>
    </row>
    <row r="577">
      <c r="A577" t="inlineStr">
        <is>
          <t>Environment</t>
        </is>
      </c>
      <c r="B577" t="inlineStr">
        <is>
          <t>Legal 500</t>
        </is>
      </c>
      <c r="C577" t="inlineStr">
        <is>
          <t>Tier 3</t>
        </is>
      </c>
      <c r="D577" t="inlineStr">
        <is>
          <t>CMS Wistrand</t>
        </is>
      </c>
      <c r="E577" t="inlineStr">
        <is>
          <t>CMS Wistrand</t>
        </is>
      </c>
    </row>
    <row r="578">
      <c r="A578" t="inlineStr">
        <is>
          <t>Environment</t>
        </is>
      </c>
      <c r="B578" t="inlineStr">
        <is>
          <t>Legal 500</t>
        </is>
      </c>
      <c r="C578" t="inlineStr">
        <is>
          <t>Tier 3</t>
        </is>
      </c>
      <c r="D578" t="inlineStr">
        <is>
          <t>Hellström</t>
        </is>
      </c>
      <c r="E578" t="inlineStr">
        <is>
          <t>Hellström Law</t>
        </is>
      </c>
    </row>
    <row r="579">
      <c r="A579" t="inlineStr">
        <is>
          <t>Environment</t>
        </is>
      </c>
      <c r="B579" t="inlineStr">
        <is>
          <t>Legal 500</t>
        </is>
      </c>
      <c r="C579" t="inlineStr">
        <is>
          <t>Tier 3</t>
        </is>
      </c>
      <c r="D579" t="inlineStr">
        <is>
          <t>MAQS</t>
        </is>
      </c>
      <c r="E579" t="inlineStr">
        <is>
          <t>MAQS Advokatbyrå</t>
        </is>
      </c>
    </row>
    <row r="580">
      <c r="A580" t="inlineStr">
        <is>
          <t>Environment</t>
        </is>
      </c>
      <c r="B580" t="inlineStr">
        <is>
          <t>Legal 500</t>
        </is>
      </c>
      <c r="C580" t="inlineStr">
        <is>
          <t>Tier 3</t>
        </is>
      </c>
      <c r="D580" t="inlineStr">
        <is>
          <t>Vinge</t>
        </is>
      </c>
      <c r="E580" t="inlineStr">
        <is>
          <t>Advokatfirman Vinge KB</t>
        </is>
      </c>
    </row>
    <row r="581">
      <c r="A581" t="inlineStr">
        <is>
          <t>Environment</t>
        </is>
      </c>
      <c r="B581" t="inlineStr">
        <is>
          <t>Legal 500</t>
        </is>
      </c>
      <c r="C581" t="inlineStr">
        <is>
          <t>Firms to watch</t>
        </is>
      </c>
      <c r="D581" t="inlineStr">
        <is>
          <t>Pogona Advokatbyrå AB</t>
        </is>
      </c>
      <c r="E581" t="inlineStr">
        <is>
          <t>Pogona Advokatbyrå AB</t>
        </is>
      </c>
    </row>
    <row r="582">
      <c r="A582" t="inlineStr">
        <is>
          <t>Insurance</t>
        </is>
      </c>
      <c r="B582" t="inlineStr">
        <is>
          <t>Chambers</t>
        </is>
      </c>
      <c r="C582" t="inlineStr">
        <is>
          <t>Band 1</t>
        </is>
      </c>
      <c r="D582" t="inlineStr">
        <is>
          <t>Vinge</t>
        </is>
      </c>
      <c r="E582" t="inlineStr">
        <is>
          <t>Advokatfirman Vinge KB</t>
        </is>
      </c>
    </row>
    <row r="583">
      <c r="A583" t="inlineStr">
        <is>
          <t>Insurance</t>
        </is>
      </c>
      <c r="B583" t="inlineStr">
        <is>
          <t>Chambers</t>
        </is>
      </c>
      <c r="C583" t="inlineStr">
        <is>
          <t>Band 1</t>
        </is>
      </c>
      <c r="D583" t="inlineStr">
        <is>
          <t>Mannheimer Swartling</t>
        </is>
      </c>
      <c r="E583" t="inlineStr">
        <is>
          <t>Mannheimer Swartling</t>
        </is>
      </c>
    </row>
    <row r="584">
      <c r="A584" t="inlineStr">
        <is>
          <t>Insurance</t>
        </is>
      </c>
      <c r="B584" t="inlineStr">
        <is>
          <t>Chambers</t>
        </is>
      </c>
      <c r="C584" t="inlineStr">
        <is>
          <t>Band 1</t>
        </is>
      </c>
      <c r="D584" t="inlineStr">
        <is>
          <t>Setterwalls</t>
        </is>
      </c>
      <c r="E584" t="inlineStr">
        <is>
          <t>Setterwalls</t>
        </is>
      </c>
    </row>
    <row r="585">
      <c r="A585" t="inlineStr">
        <is>
          <t>Insurance</t>
        </is>
      </c>
      <c r="B585" t="inlineStr">
        <is>
          <t>Chambers</t>
        </is>
      </c>
      <c r="C585" t="inlineStr">
        <is>
          <t>Band 2</t>
        </is>
      </c>
      <c r="D585" t="inlineStr">
        <is>
          <t>DLA Piper</t>
        </is>
      </c>
      <c r="E585" t="inlineStr">
        <is>
          <t>DLA Piper</t>
        </is>
      </c>
    </row>
    <row r="586">
      <c r="A586" t="inlineStr">
        <is>
          <t>Insurance</t>
        </is>
      </c>
      <c r="B586" t="inlineStr">
        <is>
          <t>Chambers</t>
        </is>
      </c>
      <c r="C586" t="inlineStr">
        <is>
          <t>Band 2</t>
        </is>
      </c>
      <c r="D586" t="inlineStr">
        <is>
          <t>Magnusson</t>
        </is>
      </c>
      <c r="E586" t="inlineStr">
        <is>
          <t>Magnusson</t>
        </is>
      </c>
    </row>
    <row r="587">
      <c r="A587" t="inlineStr">
        <is>
          <t>Insurance</t>
        </is>
      </c>
      <c r="B587" t="inlineStr">
        <is>
          <t>Chambers</t>
        </is>
      </c>
      <c r="C587" t="inlineStr">
        <is>
          <t>Band 3</t>
        </is>
      </c>
      <c r="D587" t="inlineStr">
        <is>
          <t>Lindahl</t>
        </is>
      </c>
      <c r="E587" t="inlineStr">
        <is>
          <t>Advokatfirman Lindahl</t>
        </is>
      </c>
    </row>
    <row r="588">
      <c r="A588" t="inlineStr">
        <is>
          <t>Insurance</t>
        </is>
      </c>
      <c r="B588" t="inlineStr">
        <is>
          <t>Chambers</t>
        </is>
      </c>
      <c r="C588" t="inlineStr">
        <is>
          <t>Band 3</t>
        </is>
      </c>
      <c r="D588" t="inlineStr">
        <is>
          <t>CMS Wistrand</t>
        </is>
      </c>
      <c r="E588" t="inlineStr">
        <is>
          <t>CMS Wistrand</t>
        </is>
      </c>
    </row>
    <row r="589">
      <c r="A589" t="inlineStr">
        <is>
          <t>Insurance</t>
        </is>
      </c>
      <c r="B589" t="inlineStr">
        <is>
          <t>Chambers</t>
        </is>
      </c>
      <c r="C589" t="inlineStr">
        <is>
          <t>Band 3</t>
        </is>
      </c>
      <c r="D589" t="inlineStr">
        <is>
          <t>Kompass</t>
        </is>
      </c>
      <c r="E589" t="inlineStr">
        <is>
          <t>Kompass Advokat</t>
        </is>
      </c>
    </row>
    <row r="590">
      <c r="A590" t="inlineStr">
        <is>
          <t>Insurance</t>
        </is>
      </c>
      <c r="B590" t="inlineStr">
        <is>
          <t>Chambers</t>
        </is>
      </c>
      <c r="C590" t="inlineStr">
        <is>
          <t>Band 3</t>
        </is>
      </c>
      <c r="D590" t="inlineStr">
        <is>
          <t>Nordia Law</t>
        </is>
      </c>
      <c r="E590" t="inlineStr">
        <is>
          <t>Nordia Law</t>
        </is>
      </c>
    </row>
    <row r="591">
      <c r="A591" t="inlineStr">
        <is>
          <t>Insurance</t>
        </is>
      </c>
      <c r="B591" t="inlineStr">
        <is>
          <t>Legal 500</t>
        </is>
      </c>
      <c r="C591" t="inlineStr">
        <is>
          <t>Tier 1</t>
        </is>
      </c>
      <c r="D591" t="inlineStr">
        <is>
          <t>Magnusson</t>
        </is>
      </c>
      <c r="E591" t="inlineStr">
        <is>
          <t>Magnusson</t>
        </is>
      </c>
    </row>
    <row r="592">
      <c r="A592" t="inlineStr">
        <is>
          <t>Insurance</t>
        </is>
      </c>
      <c r="B592" t="inlineStr">
        <is>
          <t>Legal 500</t>
        </is>
      </c>
      <c r="C592" t="inlineStr">
        <is>
          <t>Tier 1</t>
        </is>
      </c>
      <c r="D592" t="inlineStr">
        <is>
          <t>Mannheimer Swartling</t>
        </is>
      </c>
      <c r="E592" t="inlineStr">
        <is>
          <t>Mannheimer Swartling</t>
        </is>
      </c>
    </row>
    <row r="593">
      <c r="A593" t="inlineStr">
        <is>
          <t>Insurance</t>
        </is>
      </c>
      <c r="B593" t="inlineStr">
        <is>
          <t>Legal 500</t>
        </is>
      </c>
      <c r="C593" t="inlineStr">
        <is>
          <t>Tier 1</t>
        </is>
      </c>
      <c r="D593" t="inlineStr">
        <is>
          <t>Setterwalls</t>
        </is>
      </c>
      <c r="E593" t="inlineStr">
        <is>
          <t>Setterwalls</t>
        </is>
      </c>
    </row>
    <row r="594">
      <c r="A594" t="inlineStr">
        <is>
          <t>Insurance</t>
        </is>
      </c>
      <c r="B594" t="inlineStr">
        <is>
          <t>Legal 500</t>
        </is>
      </c>
      <c r="C594" t="inlineStr">
        <is>
          <t>Tier 1</t>
        </is>
      </c>
      <c r="D594" t="inlineStr">
        <is>
          <t>Vinge</t>
        </is>
      </c>
      <c r="E594" t="inlineStr">
        <is>
          <t>Advokatfirman Vinge KB</t>
        </is>
      </c>
    </row>
    <row r="595">
      <c r="A595" t="inlineStr">
        <is>
          <t>Insurance</t>
        </is>
      </c>
      <c r="B595" t="inlineStr">
        <is>
          <t>Legal 500</t>
        </is>
      </c>
      <c r="C595" t="inlineStr">
        <is>
          <t>Tier 1</t>
        </is>
      </c>
      <c r="D595" t="inlineStr">
        <is>
          <t>Westerberg &amp; Partners</t>
        </is>
      </c>
      <c r="E595" t="inlineStr">
        <is>
          <t>Westerberg &amp; Partners</t>
        </is>
      </c>
    </row>
    <row r="596">
      <c r="A596" t="inlineStr">
        <is>
          <t>Insurance</t>
        </is>
      </c>
      <c r="B596" t="inlineStr">
        <is>
          <t>Legal 500</t>
        </is>
      </c>
      <c r="C596" t="inlineStr">
        <is>
          <t>Tier 2</t>
        </is>
      </c>
      <c r="D596" t="inlineStr">
        <is>
          <t>Cederquist</t>
        </is>
      </c>
      <c r="E596" t="inlineStr">
        <is>
          <t>Advokatfirman Cederquist KB</t>
        </is>
      </c>
    </row>
    <row r="597">
      <c r="A597" t="inlineStr">
        <is>
          <t>Insurance</t>
        </is>
      </c>
      <c r="B597" t="inlineStr">
        <is>
          <t>Legal 500</t>
        </is>
      </c>
      <c r="C597" t="inlineStr">
        <is>
          <t>Tier 2</t>
        </is>
      </c>
      <c r="D597" t="inlineStr">
        <is>
          <t>CMS Wistrand</t>
        </is>
      </c>
      <c r="E597" t="inlineStr">
        <is>
          <t>CMS Wistrand</t>
        </is>
      </c>
    </row>
    <row r="598">
      <c r="A598" t="inlineStr">
        <is>
          <t>Insurance</t>
        </is>
      </c>
      <c r="B598" t="inlineStr">
        <is>
          <t>Legal 500</t>
        </is>
      </c>
      <c r="C598" t="inlineStr">
        <is>
          <t>Tier 2</t>
        </is>
      </c>
      <c r="D598" t="inlineStr">
        <is>
          <t>DLA Piper</t>
        </is>
      </c>
      <c r="E598" t="inlineStr">
        <is>
          <t>DLA Piper Sweden</t>
        </is>
      </c>
    </row>
    <row r="599">
      <c r="A599" t="inlineStr">
        <is>
          <t>Insurance</t>
        </is>
      </c>
      <c r="B599" t="inlineStr">
        <is>
          <t>Legal 500</t>
        </is>
      </c>
      <c r="C599" t="inlineStr">
        <is>
          <t>Tier 2</t>
        </is>
      </c>
      <c r="D599" t="inlineStr">
        <is>
          <t>Nordia Law</t>
        </is>
      </c>
      <c r="E599" t="inlineStr">
        <is>
          <t>NORDIA Law</t>
        </is>
      </c>
    </row>
    <row r="600">
      <c r="A600" t="inlineStr">
        <is>
          <t>Insurance</t>
        </is>
      </c>
      <c r="B600" t="inlineStr">
        <is>
          <t>Legal 500</t>
        </is>
      </c>
      <c r="C600" t="inlineStr">
        <is>
          <t>Tier 3</t>
        </is>
      </c>
      <c r="D600" t="inlineStr">
        <is>
          <t>Delphi</t>
        </is>
      </c>
      <c r="E600" t="inlineStr">
        <is>
          <t>Advokatfirman Delphi</t>
        </is>
      </c>
    </row>
    <row r="601">
      <c r="A601" t="inlineStr">
        <is>
          <t>Insurance</t>
        </is>
      </c>
      <c r="B601" t="inlineStr">
        <is>
          <t>Legal 500</t>
        </is>
      </c>
      <c r="C601" t="inlineStr">
        <is>
          <t>Tier 3</t>
        </is>
      </c>
      <c r="D601" t="inlineStr">
        <is>
          <t>Kompass</t>
        </is>
      </c>
      <c r="E601" t="inlineStr">
        <is>
          <t>Kompass Advokat</t>
        </is>
      </c>
    </row>
    <row r="602">
      <c r="A602" t="inlineStr">
        <is>
          <t>Insurance</t>
        </is>
      </c>
      <c r="B602" t="inlineStr">
        <is>
          <t>Legal 500</t>
        </is>
      </c>
      <c r="C602" t="inlineStr">
        <is>
          <t>Tier 3</t>
        </is>
      </c>
      <c r="D602" t="inlineStr">
        <is>
          <t>Lindahl</t>
        </is>
      </c>
      <c r="E602" t="inlineStr">
        <is>
          <t>Advokatfirman Lindahl KB</t>
        </is>
      </c>
    </row>
    <row r="603">
      <c r="A603" t="inlineStr">
        <is>
          <t>Insurance</t>
        </is>
      </c>
      <c r="B603" t="inlineStr">
        <is>
          <t>Legal 500</t>
        </is>
      </c>
      <c r="C603" t="inlineStr">
        <is>
          <t>Tier 3</t>
        </is>
      </c>
      <c r="D603" t="inlineStr">
        <is>
          <t>Next Law</t>
        </is>
      </c>
      <c r="E603" t="inlineStr">
        <is>
          <t>Next Law KB</t>
        </is>
      </c>
    </row>
    <row r="604">
      <c r="A604" t="inlineStr">
        <is>
          <t>Public procurement</t>
        </is>
      </c>
      <c r="B604" t="inlineStr">
        <is>
          <t>Chambers</t>
        </is>
      </c>
      <c r="C604" t="inlineStr">
        <is>
          <t>Band 1</t>
        </is>
      </c>
      <c r="D604" t="inlineStr">
        <is>
          <t>Kahn Pedersen</t>
        </is>
      </c>
      <c r="E604" t="inlineStr">
        <is>
          <t>Advokatfirman Kahn Pedersen</t>
        </is>
      </c>
    </row>
    <row r="605">
      <c r="A605" t="inlineStr">
        <is>
          <t>Public procurement</t>
        </is>
      </c>
      <c r="B605" t="inlineStr">
        <is>
          <t>Chambers</t>
        </is>
      </c>
      <c r="C605" t="inlineStr">
        <is>
          <t>Band 1</t>
        </is>
      </c>
      <c r="D605" t="inlineStr">
        <is>
          <t>Vinge</t>
        </is>
      </c>
      <c r="E605" t="inlineStr">
        <is>
          <t>Advokatfirman Vinge KB</t>
        </is>
      </c>
    </row>
    <row r="606">
      <c r="A606" t="inlineStr">
        <is>
          <t>Public procurement</t>
        </is>
      </c>
      <c r="B606" t="inlineStr">
        <is>
          <t>Chambers</t>
        </is>
      </c>
      <c r="C606" t="inlineStr">
        <is>
          <t>Band 1</t>
        </is>
      </c>
      <c r="D606" t="inlineStr">
        <is>
          <t>Bokwall Rislund</t>
        </is>
      </c>
      <c r="E606" t="inlineStr">
        <is>
          <t>BOKWALL RISLUND Advisors</t>
        </is>
      </c>
    </row>
    <row r="607">
      <c r="A607" t="inlineStr">
        <is>
          <t>Public procurement</t>
        </is>
      </c>
      <c r="B607" t="inlineStr">
        <is>
          <t>Chambers</t>
        </is>
      </c>
      <c r="C607" t="inlineStr">
        <is>
          <t>Band 2</t>
        </is>
      </c>
      <c r="D607" t="inlineStr">
        <is>
          <t>Kastell</t>
        </is>
      </c>
      <c r="E607" t="inlineStr">
        <is>
          <t>Kastell Advokatbyrå</t>
        </is>
      </c>
    </row>
    <row r="608">
      <c r="A608" t="inlineStr">
        <is>
          <t>Public procurement</t>
        </is>
      </c>
      <c r="B608" t="inlineStr">
        <is>
          <t>Chambers</t>
        </is>
      </c>
      <c r="C608" t="inlineStr">
        <is>
          <t>Band 2</t>
        </is>
      </c>
      <c r="D608" t="inlineStr">
        <is>
          <t>Snellman</t>
        </is>
      </c>
      <c r="E608" t="inlineStr">
        <is>
          <t>Snellman Advokatbyrå AB</t>
        </is>
      </c>
    </row>
    <row r="609">
      <c r="A609" t="inlineStr">
        <is>
          <t>Public procurement</t>
        </is>
      </c>
      <c r="B609" t="inlineStr">
        <is>
          <t>Chambers</t>
        </is>
      </c>
      <c r="C609" t="inlineStr">
        <is>
          <t>Band 3</t>
        </is>
      </c>
      <c r="D609" t="inlineStr">
        <is>
          <t>Schjødt</t>
        </is>
      </c>
      <c r="E609" t="inlineStr">
        <is>
          <t>Advokatfirman Schjødt</t>
        </is>
      </c>
    </row>
    <row r="610">
      <c r="A610" t="inlineStr">
        <is>
          <t>Public procurement</t>
        </is>
      </c>
      <c r="B610" t="inlineStr">
        <is>
          <t>Chambers</t>
        </is>
      </c>
      <c r="C610" t="inlineStr">
        <is>
          <t>Band 3</t>
        </is>
      </c>
      <c r="D610" t="inlineStr">
        <is>
          <t>Ulfsdotter</t>
        </is>
      </c>
      <c r="E610" t="inlineStr">
        <is>
          <t>Advokatfirman Ulfsdotter AB</t>
        </is>
      </c>
    </row>
    <row r="611">
      <c r="A611" t="inlineStr">
        <is>
          <t>Public procurement</t>
        </is>
      </c>
      <c r="B611" t="inlineStr">
        <is>
          <t>Chambers</t>
        </is>
      </c>
      <c r="C611" t="inlineStr">
        <is>
          <t>Band 3</t>
        </is>
      </c>
      <c r="D611" t="inlineStr">
        <is>
          <t>Mannheimer Swartling</t>
        </is>
      </c>
      <c r="E611" t="inlineStr">
        <is>
          <t>Mannheimer Swartling</t>
        </is>
      </c>
    </row>
    <row r="612">
      <c r="A612" t="inlineStr">
        <is>
          <t>Public procurement</t>
        </is>
      </c>
      <c r="B612" t="inlineStr">
        <is>
          <t>Chambers</t>
        </is>
      </c>
      <c r="C612" t="inlineStr">
        <is>
          <t>Band 3</t>
        </is>
      </c>
      <c r="D612" t="inlineStr">
        <is>
          <t>Setterwalls</t>
        </is>
      </c>
      <c r="E612" t="inlineStr">
        <is>
          <t>Setterwalls</t>
        </is>
      </c>
    </row>
    <row r="613">
      <c r="A613" t="inlineStr">
        <is>
          <t>Public procurement</t>
        </is>
      </c>
      <c r="B613" t="inlineStr">
        <is>
          <t>Chambers</t>
        </is>
      </c>
      <c r="C613" t="inlineStr">
        <is>
          <t>Band 4</t>
        </is>
      </c>
      <c r="D613" t="inlineStr">
        <is>
          <t>Lindahl</t>
        </is>
      </c>
      <c r="E613" t="inlineStr">
        <is>
          <t>Advokatfirman Lindahl</t>
        </is>
      </c>
    </row>
    <row r="614">
      <c r="A614" t="inlineStr">
        <is>
          <t>Public procurement</t>
        </is>
      </c>
      <c r="B614" t="inlineStr">
        <is>
          <t>Chambers</t>
        </is>
      </c>
      <c r="C614" t="inlineStr">
        <is>
          <t>Band 4</t>
        </is>
      </c>
      <c r="D614" t="inlineStr">
        <is>
          <t>Magnusson</t>
        </is>
      </c>
      <c r="E614" t="inlineStr">
        <is>
          <t>Magnusson</t>
        </is>
      </c>
    </row>
    <row r="615">
      <c r="A615" t="inlineStr">
        <is>
          <t>Public procurement</t>
        </is>
      </c>
      <c r="B615" t="inlineStr">
        <is>
          <t>Legal 500</t>
        </is>
      </c>
      <c r="C615" t="inlineStr">
        <is>
          <t>Tier 1</t>
        </is>
      </c>
      <c r="D615" t="inlineStr">
        <is>
          <t>Bokwall Rislund</t>
        </is>
      </c>
      <c r="E615" t="inlineStr">
        <is>
          <t>BOKWALL RISLUND</t>
        </is>
      </c>
    </row>
    <row r="616">
      <c r="A616" t="inlineStr">
        <is>
          <t>Public procurement</t>
        </is>
      </c>
      <c r="B616" t="inlineStr">
        <is>
          <t>Legal 500</t>
        </is>
      </c>
      <c r="C616" t="inlineStr">
        <is>
          <t>Tier 1</t>
        </is>
      </c>
      <c r="D616" t="inlineStr">
        <is>
          <t>Kahn Pedersen</t>
        </is>
      </c>
      <c r="E616" t="inlineStr">
        <is>
          <t>Advokatfirman Kahn Pedersen KB</t>
        </is>
      </c>
    </row>
    <row r="617">
      <c r="A617" t="inlineStr">
        <is>
          <t>Public procurement</t>
        </is>
      </c>
      <c r="B617" t="inlineStr">
        <is>
          <t>Legal 500</t>
        </is>
      </c>
      <c r="C617" t="inlineStr">
        <is>
          <t>Tier 1</t>
        </is>
      </c>
      <c r="D617" t="inlineStr">
        <is>
          <t>Vinge</t>
        </is>
      </c>
      <c r="E617" t="inlineStr">
        <is>
          <t>Advokatfirman Vinge KB</t>
        </is>
      </c>
    </row>
    <row r="618">
      <c r="A618" t="inlineStr">
        <is>
          <t>Public procurement</t>
        </is>
      </c>
      <c r="B618" t="inlineStr">
        <is>
          <t>Legal 500</t>
        </is>
      </c>
      <c r="C618" t="inlineStr">
        <is>
          <t>Tier 2</t>
        </is>
      </c>
      <c r="D618" t="inlineStr">
        <is>
          <t>Cirio</t>
        </is>
      </c>
      <c r="E618" t="inlineStr">
        <is>
          <t>Cirio Advokatbyrå AB</t>
        </is>
      </c>
    </row>
    <row r="619">
      <c r="A619" t="inlineStr">
        <is>
          <t>Public procurement</t>
        </is>
      </c>
      <c r="B619" t="inlineStr">
        <is>
          <t>Legal 500</t>
        </is>
      </c>
      <c r="C619" t="inlineStr">
        <is>
          <t>Tier 2</t>
        </is>
      </c>
      <c r="D619" t="inlineStr">
        <is>
          <t>Fylgia</t>
        </is>
      </c>
      <c r="E619" t="inlineStr">
        <is>
          <t>Advokatfirman Fylgia KB</t>
        </is>
      </c>
    </row>
    <row r="620">
      <c r="A620" t="inlineStr">
        <is>
          <t>Public procurement</t>
        </is>
      </c>
      <c r="B620" t="inlineStr">
        <is>
          <t>Legal 500</t>
        </is>
      </c>
      <c r="C620" t="inlineStr">
        <is>
          <t>Tier 2</t>
        </is>
      </c>
      <c r="D620" t="inlineStr">
        <is>
          <t>Mannheimer Swartling</t>
        </is>
      </c>
      <c r="E620" t="inlineStr">
        <is>
          <t>Mannheimer Swartling</t>
        </is>
      </c>
    </row>
    <row r="621">
      <c r="A621" t="inlineStr">
        <is>
          <t>Public procurement</t>
        </is>
      </c>
      <c r="B621" t="inlineStr">
        <is>
          <t>Legal 500</t>
        </is>
      </c>
      <c r="C621" t="inlineStr">
        <is>
          <t>Tier 2</t>
        </is>
      </c>
      <c r="D621" t="inlineStr">
        <is>
          <t>Schjødt</t>
        </is>
      </c>
      <c r="E621" t="inlineStr">
        <is>
          <t>Advokatfirman Schjødt</t>
        </is>
      </c>
    </row>
    <row r="622">
      <c r="A622" t="inlineStr">
        <is>
          <t>Public procurement</t>
        </is>
      </c>
      <c r="B622" t="inlineStr">
        <is>
          <t>Legal 500</t>
        </is>
      </c>
      <c r="C622" t="inlineStr">
        <is>
          <t>Tier 2</t>
        </is>
      </c>
      <c r="D622" t="inlineStr">
        <is>
          <t>Setterwalls</t>
        </is>
      </c>
      <c r="E622" t="inlineStr">
        <is>
          <t>Setterwalls</t>
        </is>
      </c>
    </row>
    <row r="623">
      <c r="A623" t="inlineStr">
        <is>
          <t>Public procurement</t>
        </is>
      </c>
      <c r="B623" t="inlineStr">
        <is>
          <t>Legal 500</t>
        </is>
      </c>
      <c r="C623" t="inlineStr">
        <is>
          <t>Tier 2</t>
        </is>
      </c>
      <c r="D623" t="inlineStr">
        <is>
          <t>Snellman</t>
        </is>
      </c>
      <c r="E623" t="inlineStr">
        <is>
          <t>Snellman</t>
        </is>
      </c>
    </row>
    <row r="624">
      <c r="A624" t="inlineStr">
        <is>
          <t>Public procurement</t>
        </is>
      </c>
      <c r="B624" t="inlineStr">
        <is>
          <t>Legal 500</t>
        </is>
      </c>
      <c r="C624" t="inlineStr">
        <is>
          <t>Tier 2</t>
        </is>
      </c>
      <c r="D624" t="inlineStr">
        <is>
          <t>Ulfsdotter</t>
        </is>
      </c>
      <c r="E624" t="inlineStr">
        <is>
          <t>Advokatfirman Ulfsdotter AB/Ulfsdotter Law</t>
        </is>
      </c>
    </row>
    <row r="625">
      <c r="A625" t="inlineStr">
        <is>
          <t>Public procurement</t>
        </is>
      </c>
      <c r="B625" t="inlineStr">
        <is>
          <t>Legal 500</t>
        </is>
      </c>
      <c r="C625" t="inlineStr">
        <is>
          <t>Tier 2</t>
        </is>
      </c>
      <c r="D625" t="inlineStr">
        <is>
          <t>Kastell</t>
        </is>
      </c>
      <c r="E625" t="inlineStr">
        <is>
          <t>Kastell Advokatbyrå AB</t>
        </is>
      </c>
    </row>
    <row r="626">
      <c r="A626" t="inlineStr">
        <is>
          <t>Public procurement</t>
        </is>
      </c>
      <c r="B626" t="inlineStr">
        <is>
          <t>Legal 500</t>
        </is>
      </c>
      <c r="C626" t="inlineStr">
        <is>
          <t>Tier 3</t>
        </is>
      </c>
      <c r="D626" t="inlineStr">
        <is>
          <t>AG Advokat</t>
        </is>
      </c>
      <c r="E626" t="inlineStr">
        <is>
          <t>AG Advokat</t>
        </is>
      </c>
    </row>
    <row r="627">
      <c r="A627" t="inlineStr">
        <is>
          <t>Public procurement</t>
        </is>
      </c>
      <c r="B627" t="inlineStr">
        <is>
          <t>Legal 500</t>
        </is>
      </c>
      <c r="C627" t="inlineStr">
        <is>
          <t>Tier 3</t>
        </is>
      </c>
      <c r="D627" t="inlineStr">
        <is>
          <t>Cederquist</t>
        </is>
      </c>
      <c r="E627" t="inlineStr">
        <is>
          <t>Advokatfirman Cederquist KB</t>
        </is>
      </c>
    </row>
    <row r="628">
      <c r="A628" t="inlineStr">
        <is>
          <t>Public procurement</t>
        </is>
      </c>
      <c r="B628" t="inlineStr">
        <is>
          <t>Legal 500</t>
        </is>
      </c>
      <c r="C628" t="inlineStr">
        <is>
          <t>Tier 3</t>
        </is>
      </c>
      <c r="D628" t="inlineStr">
        <is>
          <t>Eversheds Sutherland</t>
        </is>
      </c>
      <c r="E628" t="inlineStr">
        <is>
          <t>Eversheds Sutherland</t>
        </is>
      </c>
    </row>
    <row r="629">
      <c r="A629" t="inlineStr">
        <is>
          <t>Public procurement</t>
        </is>
      </c>
      <c r="B629" t="inlineStr">
        <is>
          <t>Legal 500</t>
        </is>
      </c>
      <c r="C629" t="inlineStr">
        <is>
          <t>Tier 3</t>
        </is>
      </c>
      <c r="D629" t="inlineStr">
        <is>
          <t>Foyen</t>
        </is>
      </c>
      <c r="E629" t="inlineStr">
        <is>
          <t>Foyen Advokatfirma</t>
        </is>
      </c>
    </row>
    <row r="630">
      <c r="A630" t="inlineStr">
        <is>
          <t>Public procurement</t>
        </is>
      </c>
      <c r="B630" t="inlineStr">
        <is>
          <t>Legal 500</t>
        </is>
      </c>
      <c r="C630" t="inlineStr">
        <is>
          <t>Tier 3</t>
        </is>
      </c>
      <c r="D630" t="inlineStr">
        <is>
          <t>Kilpatrick Townsend &amp; Stockton Advokat KB</t>
        </is>
      </c>
      <c r="E630" t="inlineStr">
        <is>
          <t>Kilpatrick Townsend &amp; Stockton Advokat KB</t>
        </is>
      </c>
    </row>
    <row r="631">
      <c r="A631" t="inlineStr">
        <is>
          <t>Public procurement</t>
        </is>
      </c>
      <c r="B631" t="inlineStr">
        <is>
          <t>Legal 500</t>
        </is>
      </c>
      <c r="C631" t="inlineStr">
        <is>
          <t>Tier 3</t>
        </is>
      </c>
      <c r="D631" t="inlineStr">
        <is>
          <t>Lindahl</t>
        </is>
      </c>
      <c r="E631" t="inlineStr">
        <is>
          <t>Advokatfirman Lindahl KB</t>
        </is>
      </c>
    </row>
    <row r="632">
      <c r="A632" t="inlineStr">
        <is>
          <t>Public procurement</t>
        </is>
      </c>
      <c r="B632" t="inlineStr">
        <is>
          <t>Legal 500</t>
        </is>
      </c>
      <c r="C632" t="inlineStr">
        <is>
          <t>Tier 3</t>
        </is>
      </c>
      <c r="D632" t="inlineStr">
        <is>
          <t>Magnusson</t>
        </is>
      </c>
      <c r="E632" t="inlineStr">
        <is>
          <t>Magnusson</t>
        </is>
      </c>
    </row>
    <row r="633">
      <c r="A633" t="inlineStr">
        <is>
          <t>Public procurement</t>
        </is>
      </c>
      <c r="B633" t="inlineStr">
        <is>
          <t>Legal 500</t>
        </is>
      </c>
      <c r="C633" t="inlineStr">
        <is>
          <t>Tier 4</t>
        </is>
      </c>
      <c r="D633" t="inlineStr">
        <is>
          <t>Delphi</t>
        </is>
      </c>
      <c r="E633" t="inlineStr">
        <is>
          <t>Advokatfirman Delphi</t>
        </is>
      </c>
    </row>
    <row r="634">
      <c r="A634" t="inlineStr">
        <is>
          <t>Public procurement</t>
        </is>
      </c>
      <c r="B634" t="inlineStr">
        <is>
          <t>Legal 500</t>
        </is>
      </c>
      <c r="C634" t="inlineStr">
        <is>
          <t>Tier 4</t>
        </is>
      </c>
      <c r="D634" t="inlineStr">
        <is>
          <t>DLA Piper</t>
        </is>
      </c>
      <c r="E634" t="inlineStr">
        <is>
          <t>DLA Piper Sweden</t>
        </is>
      </c>
    </row>
    <row r="635">
      <c r="A635" t="inlineStr">
        <is>
          <t>Public procurement</t>
        </is>
      </c>
      <c r="B635" t="inlineStr">
        <is>
          <t>Legal 500</t>
        </is>
      </c>
      <c r="C635" t="inlineStr">
        <is>
          <t>Tier 4</t>
        </is>
      </c>
      <c r="D635" t="inlineStr">
        <is>
          <t>Hellström</t>
        </is>
      </c>
      <c r="E635" t="inlineStr">
        <is>
          <t>Hellström Law</t>
        </is>
      </c>
    </row>
    <row r="636">
      <c r="A636" t="inlineStr">
        <is>
          <t>Public procurement</t>
        </is>
      </c>
      <c r="B636" t="inlineStr">
        <is>
          <t>Legal 500</t>
        </is>
      </c>
      <c r="C636" t="inlineStr">
        <is>
          <t>Tier 4</t>
        </is>
      </c>
      <c r="D636" t="inlineStr">
        <is>
          <t>Morris Law</t>
        </is>
      </c>
      <c r="E636" t="inlineStr">
        <is>
          <t>Morris Law</t>
        </is>
      </c>
    </row>
    <row r="637">
      <c r="A637" t="inlineStr">
        <is>
          <t>Public procurement</t>
        </is>
      </c>
      <c r="B637" t="inlineStr">
        <is>
          <t>Legal 500</t>
        </is>
      </c>
      <c r="C637" t="inlineStr">
        <is>
          <t>Tier 4</t>
        </is>
      </c>
      <c r="D637" t="inlineStr">
        <is>
          <t>Roschier</t>
        </is>
      </c>
      <c r="E637" t="inlineStr">
        <is>
          <t>Roschier</t>
        </is>
      </c>
    </row>
    <row r="638">
      <c r="A638" t="inlineStr">
        <is>
          <t>Healthcare / life sciences</t>
        </is>
      </c>
      <c r="B638" t="inlineStr">
        <is>
          <t>Legal 500</t>
        </is>
      </c>
      <c r="C638" t="inlineStr">
        <is>
          <t>Tier 1</t>
        </is>
      </c>
      <c r="D638" t="inlineStr">
        <is>
          <t>Cirio</t>
        </is>
      </c>
      <c r="E638" t="inlineStr">
        <is>
          <t>Cirio Advokatbyrå AB</t>
        </is>
      </c>
    </row>
    <row r="639">
      <c r="A639" t="inlineStr">
        <is>
          <t>Healthcare / life sciences</t>
        </is>
      </c>
      <c r="B639" t="inlineStr">
        <is>
          <t>Legal 500</t>
        </is>
      </c>
      <c r="C639" t="inlineStr">
        <is>
          <t>Tier 1</t>
        </is>
      </c>
      <c r="D639" t="inlineStr">
        <is>
          <t>Mannheimer Swartling</t>
        </is>
      </c>
      <c r="E639" t="inlineStr">
        <is>
          <t>Mannheimer Swartling</t>
        </is>
      </c>
    </row>
    <row r="640">
      <c r="A640" t="inlineStr">
        <is>
          <t>Healthcare / life sciences</t>
        </is>
      </c>
      <c r="B640" t="inlineStr">
        <is>
          <t>Legal 500</t>
        </is>
      </c>
      <c r="C640" t="inlineStr">
        <is>
          <t>Tier 1</t>
        </is>
      </c>
      <c r="D640" t="inlineStr">
        <is>
          <t>Setterwalls</t>
        </is>
      </c>
      <c r="E640" t="inlineStr">
        <is>
          <t>Setterwalls</t>
        </is>
      </c>
    </row>
    <row r="641">
      <c r="A641" t="inlineStr">
        <is>
          <t>Healthcare / life sciences</t>
        </is>
      </c>
      <c r="B641" t="inlineStr">
        <is>
          <t>Legal 500</t>
        </is>
      </c>
      <c r="C641" t="inlineStr">
        <is>
          <t>Tier 1</t>
        </is>
      </c>
      <c r="D641" t="inlineStr">
        <is>
          <t>Vinge</t>
        </is>
      </c>
      <c r="E641" t="inlineStr">
        <is>
          <t>Advokatfirman Vinge KB</t>
        </is>
      </c>
    </row>
    <row r="642">
      <c r="A642" t="inlineStr">
        <is>
          <t>Healthcare / life sciences</t>
        </is>
      </c>
      <c r="B642" t="inlineStr">
        <is>
          <t>Legal 500</t>
        </is>
      </c>
      <c r="C642" t="inlineStr">
        <is>
          <t>Tier 2</t>
        </is>
      </c>
      <c r="D642" t="inlineStr">
        <is>
          <t>Cederquist</t>
        </is>
      </c>
      <c r="E642" t="inlineStr">
        <is>
          <t>Advokatfirman Cederquist KB</t>
        </is>
      </c>
    </row>
    <row r="643">
      <c r="A643" t="inlineStr">
        <is>
          <t>Healthcare / life sciences</t>
        </is>
      </c>
      <c r="B643" t="inlineStr">
        <is>
          <t>Legal 500</t>
        </is>
      </c>
      <c r="C643" t="inlineStr">
        <is>
          <t>Tier 2</t>
        </is>
      </c>
      <c r="D643" t="inlineStr">
        <is>
          <t>Delphi</t>
        </is>
      </c>
      <c r="E643" t="inlineStr">
        <is>
          <t>Advokatfirman Delphi</t>
        </is>
      </c>
    </row>
    <row r="644">
      <c r="A644" t="inlineStr">
        <is>
          <t>Healthcare / life sciences</t>
        </is>
      </c>
      <c r="B644" t="inlineStr">
        <is>
          <t>Legal 500</t>
        </is>
      </c>
      <c r="C644" t="inlineStr">
        <is>
          <t>Tier 2</t>
        </is>
      </c>
      <c r="D644" t="inlineStr">
        <is>
          <t>Hammarskiöld</t>
        </is>
      </c>
      <c r="E644" t="inlineStr">
        <is>
          <t>Hammarskiöld</t>
        </is>
      </c>
    </row>
    <row r="645">
      <c r="A645" t="inlineStr">
        <is>
          <t>Healthcare / life sciences</t>
        </is>
      </c>
      <c r="B645" t="inlineStr">
        <is>
          <t>Legal 500</t>
        </is>
      </c>
      <c r="C645" t="inlineStr">
        <is>
          <t>Tier 3</t>
        </is>
      </c>
      <c r="D645" t="inlineStr">
        <is>
          <t>Lindahl</t>
        </is>
      </c>
      <c r="E645" t="inlineStr">
        <is>
          <t>Advokatfirman Lindahl KB</t>
        </is>
      </c>
    </row>
    <row r="646">
      <c r="A646" t="inlineStr">
        <is>
          <t>Healthcare / life sciences</t>
        </is>
      </c>
      <c r="B646" t="inlineStr">
        <is>
          <t>Legal 500</t>
        </is>
      </c>
      <c r="C646" t="inlineStr">
        <is>
          <t>Tier 3</t>
        </is>
      </c>
      <c r="D646" t="inlineStr">
        <is>
          <t>Magnusson</t>
        </is>
      </c>
      <c r="E646" t="inlineStr">
        <is>
          <t>Magnusson</t>
        </is>
      </c>
    </row>
    <row r="647">
      <c r="A647" t="inlineStr">
        <is>
          <t>Healthcare / life sciences</t>
        </is>
      </c>
      <c r="B647" t="inlineStr">
        <is>
          <t>Legal 500</t>
        </is>
      </c>
      <c r="C647" t="inlineStr">
        <is>
          <t>Tier 3</t>
        </is>
      </c>
      <c r="D647" t="inlineStr">
        <is>
          <t>Roschier</t>
        </is>
      </c>
      <c r="E647" t="inlineStr">
        <is>
          <t>Roschier</t>
        </is>
      </c>
    </row>
    <row r="648">
      <c r="A648" t="inlineStr">
        <is>
          <t>Healthcare / life sciences</t>
        </is>
      </c>
      <c r="B648" t="inlineStr">
        <is>
          <t>Legal 500</t>
        </is>
      </c>
      <c r="C648" t="inlineStr">
        <is>
          <t>Tier 3</t>
        </is>
      </c>
      <c r="D648" t="inlineStr">
        <is>
          <t>Westerberg &amp; Partners</t>
        </is>
      </c>
      <c r="E648" t="inlineStr">
        <is>
          <t>Westerberg &amp; Partners</t>
        </is>
      </c>
    </row>
    <row r="649">
      <c r="A649" t="inlineStr">
        <is>
          <t>Healthcare / life sciences</t>
        </is>
      </c>
      <c r="B649" t="inlineStr">
        <is>
          <t>Legal 500</t>
        </is>
      </c>
      <c r="C649" t="inlineStr">
        <is>
          <t>Tier 4</t>
        </is>
      </c>
      <c r="D649" t="inlineStr">
        <is>
          <t>CMS Wistrand</t>
        </is>
      </c>
      <c r="E649" t="inlineStr">
        <is>
          <t>CMS Wistrand</t>
        </is>
      </c>
    </row>
    <row r="650">
      <c r="A650" t="inlineStr">
        <is>
          <t>Healthcare / life sciences</t>
        </is>
      </c>
      <c r="B650" t="inlineStr">
        <is>
          <t>Legal 500</t>
        </is>
      </c>
      <c r="C650" t="inlineStr">
        <is>
          <t>Tier 4</t>
        </is>
      </c>
      <c r="D650" t="inlineStr">
        <is>
          <t>DLA Piper</t>
        </is>
      </c>
      <c r="E650" t="inlineStr">
        <is>
          <t>DLA Piper Sweden</t>
        </is>
      </c>
    </row>
    <row r="651">
      <c r="A651" t="inlineStr">
        <is>
          <t>Healthcare / life sciences</t>
        </is>
      </c>
      <c r="B651" t="inlineStr">
        <is>
          <t>Legal 500</t>
        </is>
      </c>
      <c r="C651" t="inlineStr">
        <is>
          <t>Tier 4</t>
        </is>
      </c>
      <c r="D651" t="inlineStr">
        <is>
          <t>TM &amp; Partners</t>
        </is>
      </c>
      <c r="E651" t="inlineStr">
        <is>
          <t>TM &amp; Partners</t>
        </is>
      </c>
    </row>
    <row r="652">
      <c r="A652" t="inlineStr">
        <is>
          <t>Healthcare / life sciences</t>
        </is>
      </c>
      <c r="B652" t="inlineStr">
        <is>
          <t>Legal 500</t>
        </is>
      </c>
      <c r="C652" t="inlineStr">
        <is>
          <t>Tier 4</t>
        </is>
      </c>
      <c r="D652" t="inlineStr">
        <is>
          <t>Synch</t>
        </is>
      </c>
      <c r="E652" t="inlineStr">
        <is>
          <t>Synch Law AB</t>
        </is>
      </c>
    </row>
    <row r="653">
      <c r="A653" t="inlineStr">
        <is>
          <t>Shipping</t>
        </is>
      </c>
      <c r="B653" t="inlineStr">
        <is>
          <t>Legal 500</t>
        </is>
      </c>
      <c r="C653" t="inlineStr">
        <is>
          <t>Tier 1</t>
        </is>
      </c>
      <c r="D653" t="inlineStr">
        <is>
          <t>Mannheimer Swartling</t>
        </is>
      </c>
      <c r="E653" t="inlineStr">
        <is>
          <t>Mannheimer Swartling</t>
        </is>
      </c>
    </row>
    <row r="654">
      <c r="A654" t="inlineStr">
        <is>
          <t>Shipping</t>
        </is>
      </c>
      <c r="B654" t="inlineStr">
        <is>
          <t>Legal 500</t>
        </is>
      </c>
      <c r="C654" t="inlineStr">
        <is>
          <t>Tier 1</t>
        </is>
      </c>
      <c r="D654" t="inlineStr">
        <is>
          <t>Setterwalls</t>
        </is>
      </c>
      <c r="E654" t="inlineStr">
        <is>
          <t>Setterwalls</t>
        </is>
      </c>
    </row>
    <row r="655">
      <c r="A655" t="inlineStr">
        <is>
          <t>Shipping</t>
        </is>
      </c>
      <c r="B655" t="inlineStr">
        <is>
          <t>Legal 500</t>
        </is>
      </c>
      <c r="C655" t="inlineStr">
        <is>
          <t>Tier 1</t>
        </is>
      </c>
      <c r="D655" t="inlineStr">
        <is>
          <t>Vinge</t>
        </is>
      </c>
      <c r="E655" t="inlineStr">
        <is>
          <t>Advokatfirman Vinge KB</t>
        </is>
      </c>
    </row>
    <row r="656">
      <c r="A656" t="inlineStr">
        <is>
          <t>Shipping</t>
        </is>
      </c>
      <c r="B656" t="inlineStr">
        <is>
          <t>Legal 500</t>
        </is>
      </c>
      <c r="C656" t="inlineStr">
        <is>
          <t>Tier 2</t>
        </is>
      </c>
      <c r="D656" t="inlineStr">
        <is>
          <t>CMS Wistrand</t>
        </is>
      </c>
      <c r="E656" t="inlineStr">
        <is>
          <t>CMS Wistrand</t>
        </is>
      </c>
    </row>
    <row r="657">
      <c r="A657" t="inlineStr">
        <is>
          <t>Shipping</t>
        </is>
      </c>
      <c r="B657" t="inlineStr">
        <is>
          <t>Legal 500</t>
        </is>
      </c>
      <c r="C657" t="inlineStr">
        <is>
          <t>Tier 2</t>
        </is>
      </c>
      <c r="D657" t="inlineStr">
        <is>
          <t>Next Law</t>
        </is>
      </c>
      <c r="E657" t="inlineStr">
        <is>
          <t>Next Law KB</t>
        </is>
      </c>
    </row>
    <row r="658">
      <c r="A658" t="inlineStr">
        <is>
          <t>Shipping</t>
        </is>
      </c>
      <c r="B658" t="inlineStr">
        <is>
          <t>Legal 500</t>
        </is>
      </c>
      <c r="C658" t="inlineStr">
        <is>
          <t>Tier 3</t>
        </is>
      </c>
      <c r="D658" t="inlineStr">
        <is>
          <t>Cirio</t>
        </is>
      </c>
      <c r="E658" t="inlineStr">
        <is>
          <t>Cirio Advokatbyrå AB</t>
        </is>
      </c>
    </row>
    <row r="659">
      <c r="A659" t="inlineStr">
        <is>
          <t>Shipping</t>
        </is>
      </c>
      <c r="B659" t="inlineStr">
        <is>
          <t>Legal 500</t>
        </is>
      </c>
      <c r="C659" t="inlineStr">
        <is>
          <t>Tier 3</t>
        </is>
      </c>
      <c r="D659" t="inlineStr">
        <is>
          <t>Lindahl</t>
        </is>
      </c>
      <c r="E659" t="inlineStr">
        <is>
          <t>Advokatfirman Lindahl KB</t>
        </is>
      </c>
    </row>
    <row r="660">
      <c r="A660" t="inlineStr">
        <is>
          <t>Corporate investigations</t>
        </is>
      </c>
      <c r="B660" t="inlineStr">
        <is>
          <t>Chambers</t>
        </is>
      </c>
      <c r="C660" t="inlineStr">
        <is>
          <t>Band 1</t>
        </is>
      </c>
      <c r="D660" t="inlineStr">
        <is>
          <t>Mannheimer Swartling</t>
        </is>
      </c>
      <c r="E660" t="inlineStr">
        <is>
          <t>Mannheimer Swartling</t>
        </is>
      </c>
    </row>
    <row r="661">
      <c r="A661" t="inlineStr">
        <is>
          <t>Corporate investigations</t>
        </is>
      </c>
      <c r="B661" t="inlineStr">
        <is>
          <t>Chambers</t>
        </is>
      </c>
      <c r="C661" t="inlineStr">
        <is>
          <t>Band 2</t>
        </is>
      </c>
      <c r="D661" t="inlineStr">
        <is>
          <t>Vinge</t>
        </is>
      </c>
      <c r="E661" t="inlineStr">
        <is>
          <t>Advokatfirman Vinge KB</t>
        </is>
      </c>
    </row>
  </sheetData>
  <autoFilter ref="A1:E6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cols>
    <col width="26" customWidth="1" style="112" min="1" max="1"/>
    <col width="18" customWidth="1" style="112" min="2" max="2"/>
    <col width="18" customWidth="1" style="112" min="3" max="3"/>
    <col width="18" customWidth="1" style="112" min="4" max="4"/>
    <col width="22" customWidth="1" style="112" min="5" max="5"/>
    <col width="10" customWidth="1" style="112" min="6" max="6"/>
    <col width="10" customWidth="1" style="112" min="7" max="7"/>
    <col width="10" customWidth="1" style="112" min="8" max="8"/>
  </cols>
  <sheetData>
    <row r="1">
      <c r="A1" s="1" t="inlineStr">
        <is>
          <t>B3. Top-ranked lawyers, Sweden: Corporate / M&amp;A, Private equity, Banking &amp; finance, Dispute resolution</t>
        </is>
      </c>
    </row>
    <row r="2" ht="75" customHeight="1" s="112">
      <c r="A2" s="2" t="inlineStr">
        <is>
          <t>Top three ranking levels per directory. Chambers Europe 2026: Band 1, Band 2, Band 3 (individual bands; Senior Statespeople, Eminent Practitioners, Up and Coming and Bands 4-5 excluded). Legal 500 EMEA (current edition): Hall of Fame, Leading partners, Next Generation Partners (Leading associates excluded; Legal 500 does not split "Leading partners" into tiers). Legal 500 has no separate Sweden private equity table (PE sits within Corporate / M&amp;A), so Private equity is Chambers only. Firm = as listed by the directory (reflects recent moves, e.g. partners now at BAHR). Extracted 13 Oct 2026. Highlight: MAQS (yellow); Magnusson, Delphi, Lindahl (orange).</t>
        </is>
      </c>
    </row>
    <row r="4">
      <c r="A4" s="47" t="inlineStr">
        <is>
          <t>Summary: number of top-ranked lawyers per firm (unique names per area, either directory)</t>
        </is>
      </c>
    </row>
    <row r="5">
      <c r="A5" s="99" t="inlineStr">
        <is>
          <t>Firm</t>
        </is>
      </c>
      <c r="B5" s="99" t="inlineStr">
        <is>
          <t>Corporate / M&amp;A</t>
        </is>
      </c>
      <c r="C5" s="99" t="inlineStr">
        <is>
          <t>Private equity</t>
        </is>
      </c>
      <c r="D5" s="99" t="inlineStr">
        <is>
          <t>Banking &amp; finance</t>
        </is>
      </c>
      <c r="E5" s="99" t="inlineStr">
        <is>
          <t>Dispute resolution</t>
        </is>
      </c>
      <c r="F5" s="99" t="inlineStr">
        <is>
          <t>Total</t>
        </is>
      </c>
    </row>
    <row r="6">
      <c r="A6" s="6" t="inlineStr">
        <is>
          <t>Mannheimer Swartling</t>
        </is>
      </c>
      <c r="B6" s="90" t="n">
        <v>6</v>
      </c>
      <c r="C6" s="90" t="n">
        <v>2</v>
      </c>
      <c r="D6" s="90" t="n">
        <v>4</v>
      </c>
      <c r="E6" s="90" t="n">
        <v>3</v>
      </c>
      <c r="F6" s="107">
        <f>SUM(B6:E6)</f>
        <v/>
      </c>
    </row>
    <row r="7">
      <c r="A7" s="6" t="inlineStr">
        <is>
          <t>Vinge</t>
        </is>
      </c>
      <c r="B7" s="90" t="n">
        <v>4</v>
      </c>
      <c r="C7" s="90" t="n">
        <v>4</v>
      </c>
      <c r="D7" s="90" t="n">
        <v>2</v>
      </c>
      <c r="E7" s="90" t="n">
        <v>3</v>
      </c>
      <c r="F7" s="107">
        <f>SUM(B7:E7)</f>
        <v/>
      </c>
    </row>
    <row r="8">
      <c r="A8" s="6" t="inlineStr">
        <is>
          <t>Gernandt &amp; Danielsson</t>
        </is>
      </c>
      <c r="B8" s="90" t="n">
        <v>3</v>
      </c>
      <c r="C8" s="90" t="n">
        <v>1</v>
      </c>
      <c r="D8" s="90" t="n">
        <v>4</v>
      </c>
      <c r="E8" s="90" t="n">
        <v>3</v>
      </c>
      <c r="F8" s="107">
        <f>SUM(B8:E8)</f>
        <v/>
      </c>
    </row>
    <row r="9">
      <c r="A9" s="6" t="inlineStr">
        <is>
          <t>Roschier</t>
        </is>
      </c>
      <c r="B9" s="90" t="n">
        <v>3</v>
      </c>
      <c r="C9" s="90" t="n">
        <v>2</v>
      </c>
      <c r="D9" s="90" t="n">
        <v>2</v>
      </c>
      <c r="E9" s="90" t="n">
        <v>3</v>
      </c>
      <c r="F9" s="107">
        <f>SUM(B9:E9)</f>
        <v/>
      </c>
    </row>
    <row r="10">
      <c r="A10" s="6" t="inlineStr">
        <is>
          <t>Cederquist</t>
        </is>
      </c>
      <c r="B10" s="90" t="n">
        <v>2</v>
      </c>
      <c r="C10" s="90" t="n"/>
      <c r="D10" s="90" t="n">
        <v>2</v>
      </c>
      <c r="E10" s="90" t="n">
        <v>3</v>
      </c>
      <c r="F10" s="107">
        <f>SUM(B10:E10)</f>
        <v/>
      </c>
    </row>
    <row r="11">
      <c r="A11" s="6" t="inlineStr">
        <is>
          <t>Setterwalls</t>
        </is>
      </c>
      <c r="B11" s="90" t="n">
        <v>2</v>
      </c>
      <c r="C11" s="90" t="n">
        <v>1</v>
      </c>
      <c r="D11" s="90" t="n">
        <v>2</v>
      </c>
      <c r="E11" s="90" t="n">
        <v>1</v>
      </c>
      <c r="F11" s="107">
        <f>SUM(B11:E11)</f>
        <v/>
      </c>
    </row>
    <row r="12">
      <c r="A12" s="6" t="inlineStr">
        <is>
          <t>White &amp; Case</t>
        </is>
      </c>
      <c r="B12" s="90" t="n">
        <v>1</v>
      </c>
      <c r="C12" s="90" t="n">
        <v>2</v>
      </c>
      <c r="D12" s="90" t="n">
        <v>1</v>
      </c>
      <c r="E12" s="90" t="n">
        <v>2</v>
      </c>
      <c r="F12" s="107">
        <f>SUM(B12:E12)</f>
        <v/>
      </c>
    </row>
    <row r="13">
      <c r="A13" s="6" t="inlineStr">
        <is>
          <t>Baker McKenzie</t>
        </is>
      </c>
      <c r="B13" s="90" t="n">
        <v>2</v>
      </c>
      <c r="C13" s="90" t="n">
        <v>1</v>
      </c>
      <c r="D13" s="90" t="n">
        <v>1</v>
      </c>
      <c r="E13" s="90" t="n"/>
      <c r="F13" s="107">
        <f>SUM(B13:E13)</f>
        <v/>
      </c>
    </row>
    <row r="14">
      <c r="A14" s="6" t="inlineStr">
        <is>
          <t>DLA Piper</t>
        </is>
      </c>
      <c r="B14" s="90" t="n">
        <v>1</v>
      </c>
      <c r="C14" s="90" t="n">
        <v>1</v>
      </c>
      <c r="D14" s="90" t="n">
        <v>1</v>
      </c>
      <c r="E14" s="90" t="n">
        <v>1</v>
      </c>
      <c r="F14" s="107">
        <f>SUM(B14:E14)</f>
        <v/>
      </c>
    </row>
    <row r="15">
      <c r="A15" s="6" t="inlineStr">
        <is>
          <t>Hammarskiöld</t>
        </is>
      </c>
      <c r="B15" s="90" t="n">
        <v>1</v>
      </c>
      <c r="C15" s="90" t="n"/>
      <c r="D15" s="90" t="n">
        <v>2</v>
      </c>
      <c r="E15" s="90" t="n">
        <v>1</v>
      </c>
      <c r="F15" s="107">
        <f>SUM(B15:E15)</f>
        <v/>
      </c>
    </row>
    <row r="16">
      <c r="A16" s="6" t="inlineStr">
        <is>
          <t>Snellman</t>
        </is>
      </c>
      <c r="B16" s="90" t="n">
        <v>1</v>
      </c>
      <c r="C16" s="90" t="n">
        <v>1</v>
      </c>
      <c r="D16" s="90" t="n">
        <v>2</v>
      </c>
      <c r="E16" s="90" t="n"/>
      <c r="F16" s="107">
        <f>SUM(B16:E16)</f>
        <v/>
      </c>
    </row>
    <row r="17">
      <c r="A17" s="6" t="inlineStr">
        <is>
          <t>Westerberg &amp; Partners</t>
        </is>
      </c>
      <c r="B17" s="90" t="n"/>
      <c r="C17" s="90" t="n"/>
      <c r="D17" s="90" t="n"/>
      <c r="E17" s="90" t="n">
        <v>4</v>
      </c>
      <c r="F17" s="107">
        <f>SUM(B17:E17)</f>
        <v/>
      </c>
    </row>
    <row r="18">
      <c r="A18" s="6" t="inlineStr">
        <is>
          <t>Linklaters</t>
        </is>
      </c>
      <c r="B18" s="90" t="n">
        <v>2</v>
      </c>
      <c r="C18" s="90" t="n"/>
      <c r="D18" s="90" t="n">
        <v>1</v>
      </c>
      <c r="E18" s="90" t="n"/>
      <c r="F18" s="107">
        <f>SUM(B18:E18)</f>
        <v/>
      </c>
    </row>
    <row r="19">
      <c r="A19" s="6" t="inlineStr">
        <is>
          <t>BAHR</t>
        </is>
      </c>
      <c r="B19" s="90" t="n">
        <v>1</v>
      </c>
      <c r="C19" s="90" t="n"/>
      <c r="D19" s="90" t="n"/>
      <c r="E19" s="90" t="n">
        <v>1</v>
      </c>
      <c r="F19" s="107">
        <f>SUM(B19:E19)</f>
        <v/>
      </c>
    </row>
    <row r="20">
      <c r="A20" s="6" t="inlineStr">
        <is>
          <t>Cirio</t>
        </is>
      </c>
      <c r="B20" s="90" t="n">
        <v>1</v>
      </c>
      <c r="C20" s="90" t="n"/>
      <c r="D20" s="90" t="n">
        <v>1</v>
      </c>
      <c r="E20" s="90" t="n"/>
      <c r="F20" s="107">
        <f>SUM(B20:E20)</f>
        <v/>
      </c>
    </row>
    <row r="21">
      <c r="A21" s="6" t="inlineStr">
        <is>
          <t>Kastell</t>
        </is>
      </c>
      <c r="B21" s="90" t="n"/>
      <c r="C21" s="90" t="n"/>
      <c r="D21" s="90" t="n"/>
      <c r="E21" s="90" t="n">
        <v>2</v>
      </c>
      <c r="F21" s="107">
        <f>SUM(B21:E21)</f>
        <v/>
      </c>
    </row>
    <row r="22">
      <c r="A22" s="6" t="inlineStr">
        <is>
          <t>Morris Law</t>
        </is>
      </c>
      <c r="B22" s="90" t="n">
        <v>1</v>
      </c>
      <c r="C22" s="90" t="n"/>
      <c r="D22" s="90" t="n"/>
      <c r="E22" s="90" t="n">
        <v>1</v>
      </c>
      <c r="F22" s="107">
        <f>SUM(B22:E22)</f>
        <v/>
      </c>
    </row>
    <row r="23">
      <c r="A23" s="6" t="inlineStr">
        <is>
          <t>Norburg &amp; Scherp</t>
        </is>
      </c>
      <c r="B23" s="90" t="n"/>
      <c r="C23" s="90" t="n"/>
      <c r="D23" s="90" t="n"/>
      <c r="E23" s="90" t="n">
        <v>2</v>
      </c>
      <c r="F23" s="107">
        <f>SUM(B23:E23)</f>
        <v/>
      </c>
    </row>
    <row r="24">
      <c r="A24" s="6" t="inlineStr">
        <is>
          <t>TM &amp; Partners</t>
        </is>
      </c>
      <c r="B24" s="90" t="n"/>
      <c r="C24" s="90" t="n"/>
      <c r="D24" s="90" t="n">
        <v>2</v>
      </c>
      <c r="E24" s="90" t="n"/>
      <c r="F24" s="107">
        <f>SUM(B24:E24)</f>
        <v/>
      </c>
    </row>
    <row r="25">
      <c r="A25" s="6" t="inlineStr">
        <is>
          <t>A1 Advokater</t>
        </is>
      </c>
      <c r="B25" s="90" t="n"/>
      <c r="C25" s="90" t="n"/>
      <c r="D25" s="90" t="n"/>
      <c r="E25" s="90" t="n">
        <v>1</v>
      </c>
      <c r="F25" s="107">
        <f>SUM(B25:E25)</f>
        <v/>
      </c>
    </row>
    <row r="26">
      <c r="A26" s="6" t="inlineStr">
        <is>
          <t>CMS Wistrand</t>
        </is>
      </c>
      <c r="B26" s="90" t="n"/>
      <c r="C26" s="90" t="n"/>
      <c r="D26" s="90" t="n"/>
      <c r="E26" s="90" t="n">
        <v>1</v>
      </c>
      <c r="F26" s="107">
        <f>SUM(B26:E26)</f>
        <v/>
      </c>
    </row>
    <row r="27">
      <c r="A27" s="6" t="inlineStr">
        <is>
          <t>Harvest</t>
        </is>
      </c>
      <c r="B27" s="90" t="n"/>
      <c r="C27" s="90" t="n"/>
      <c r="D27" s="90" t="n">
        <v>1</v>
      </c>
      <c r="E27" s="90" t="n"/>
      <c r="F27" s="107">
        <f>SUM(B27:E27)</f>
        <v/>
      </c>
    </row>
    <row r="28">
      <c r="A28" s="6" t="inlineStr">
        <is>
          <t>Kilpatrick Townsend &amp; Stockton Advokat KB</t>
        </is>
      </c>
      <c r="B28" s="90" t="n"/>
      <c r="C28" s="90" t="n"/>
      <c r="D28" s="90" t="n"/>
      <c r="E28" s="90" t="n">
        <v>1</v>
      </c>
      <c r="F28" s="107">
        <f>SUM(B28:E28)</f>
        <v/>
      </c>
    </row>
    <row r="29">
      <c r="A29" s="6" t="inlineStr">
        <is>
          <t>RE:FI STHLM</t>
        </is>
      </c>
      <c r="B29" s="90" t="n"/>
      <c r="C29" s="90" t="n"/>
      <c r="D29" s="90" t="n">
        <v>1</v>
      </c>
      <c r="E29" s="90" t="n"/>
      <c r="F29" s="107">
        <f>SUM(B29:E29)</f>
        <v/>
      </c>
    </row>
    <row r="30">
      <c r="A30" s="6" t="inlineStr">
        <is>
          <t>Wallin &amp; Partners</t>
        </is>
      </c>
      <c r="B30" s="90" t="n"/>
      <c r="C30" s="90" t="n"/>
      <c r="D30" s="90" t="n"/>
      <c r="E30" s="90" t="n">
        <v>1</v>
      </c>
      <c r="F30" s="107">
        <f>SUM(B30:E30)</f>
        <v/>
      </c>
    </row>
    <row r="32">
      <c r="A32" s="118" t="inlineStr">
        <is>
          <t>Corporate / M&amp;A</t>
        </is>
      </c>
    </row>
    <row r="33">
      <c r="A33" s="99" t="inlineStr">
        <is>
          <t>Directory</t>
        </is>
      </c>
      <c r="B33" s="99" t="inlineStr">
        <is>
          <t>Ranking</t>
        </is>
      </c>
      <c r="C33" s="99" t="inlineStr">
        <is>
          <t>Lawyer</t>
        </is>
      </c>
      <c r="D33" s="99" t="inlineStr">
        <is>
          <t>Firm</t>
        </is>
      </c>
      <c r="E33" s="99" t="inlineStr">
        <is>
          <t>Firm (as listed)</t>
        </is>
      </c>
    </row>
    <row r="34">
      <c r="A34" s="49" t="inlineStr">
        <is>
          <t>Chambers</t>
        </is>
      </c>
      <c r="B34" s="49" t="inlineStr">
        <is>
          <t>Band 1</t>
        </is>
      </c>
      <c r="C34" s="49" t="inlineStr">
        <is>
          <t>Jan Holmius</t>
        </is>
      </c>
      <c r="D34" s="49" t="inlineStr">
        <is>
          <t>Mannheimer Swartling</t>
        </is>
      </c>
      <c r="E34" s="49" t="inlineStr">
        <is>
          <t>Mannheimer Swartling</t>
        </is>
      </c>
    </row>
    <row r="35">
      <c r="A35" s="49" t="inlineStr">
        <is>
          <t>Chambers</t>
        </is>
      </c>
      <c r="B35" s="49" t="inlineStr">
        <is>
          <t>Band 1</t>
        </is>
      </c>
      <c r="C35" s="49" t="inlineStr">
        <is>
          <t>Malin Leffler</t>
        </is>
      </c>
      <c r="D35" s="49" t="inlineStr">
        <is>
          <t>Roschier</t>
        </is>
      </c>
      <c r="E35" s="49" t="inlineStr">
        <is>
          <t>Roschier</t>
        </is>
      </c>
    </row>
    <row r="36">
      <c r="A36" s="49" t="inlineStr">
        <is>
          <t>Chambers</t>
        </is>
      </c>
      <c r="B36" s="49" t="inlineStr">
        <is>
          <t>Band 1</t>
        </is>
      </c>
      <c r="C36" s="49" t="inlineStr">
        <is>
          <t>Christina Kokko</t>
        </is>
      </c>
      <c r="D36" s="49" t="inlineStr">
        <is>
          <t>Vinge</t>
        </is>
      </c>
      <c r="E36" s="49" t="inlineStr">
        <is>
          <t>Advokatfirman Vinge KB</t>
        </is>
      </c>
    </row>
    <row r="37">
      <c r="A37" s="49" t="inlineStr">
        <is>
          <t>Chambers</t>
        </is>
      </c>
      <c r="B37" s="49" t="inlineStr">
        <is>
          <t>Band 2</t>
        </is>
      </c>
      <c r="C37" s="49" t="inlineStr">
        <is>
          <t>Carl Westerberg</t>
        </is>
      </c>
      <c r="D37" s="49" t="inlineStr">
        <is>
          <t>Gernandt &amp; Danielsson</t>
        </is>
      </c>
      <c r="E37" s="49" t="inlineStr">
        <is>
          <t>Gernandt &amp; Danielsson Advokatbyrå KB</t>
        </is>
      </c>
    </row>
    <row r="38">
      <c r="A38" s="49" t="inlineStr">
        <is>
          <t>Chambers</t>
        </is>
      </c>
      <c r="B38" s="49" t="inlineStr">
        <is>
          <t>Band 2</t>
        </is>
      </c>
      <c r="C38" s="49" t="inlineStr">
        <is>
          <t>Jens Bengtsson</t>
        </is>
      </c>
      <c r="D38" s="49" t="inlineStr">
        <is>
          <t>Roschier</t>
        </is>
      </c>
      <c r="E38" s="49" t="inlineStr">
        <is>
          <t>Roschier</t>
        </is>
      </c>
    </row>
    <row r="39">
      <c r="A39" s="49" t="inlineStr">
        <is>
          <t>Chambers</t>
        </is>
      </c>
      <c r="B39" s="49" t="inlineStr">
        <is>
          <t>Band 2</t>
        </is>
      </c>
      <c r="C39" s="49" t="inlineStr">
        <is>
          <t>Johan Winnerblad</t>
        </is>
      </c>
      <c r="D39" s="49" t="inlineStr">
        <is>
          <t>Vinge</t>
        </is>
      </c>
      <c r="E39" s="49" t="inlineStr">
        <is>
          <t>Advokatfirman Vinge KB</t>
        </is>
      </c>
    </row>
    <row r="40">
      <c r="A40" s="49" t="inlineStr">
        <is>
          <t>Chambers</t>
        </is>
      </c>
      <c r="B40" s="49" t="inlineStr">
        <is>
          <t>Band 2</t>
        </is>
      </c>
      <c r="C40" s="49" t="inlineStr">
        <is>
          <t>Jonas Bergström</t>
        </is>
      </c>
      <c r="D40" s="49" t="inlineStr">
        <is>
          <t>Vinge</t>
        </is>
      </c>
      <c r="E40" s="49" t="inlineStr">
        <is>
          <t>Advokatfirman Vinge KB</t>
        </is>
      </c>
    </row>
    <row r="41">
      <c r="A41" s="49" t="inlineStr">
        <is>
          <t>Chambers</t>
        </is>
      </c>
      <c r="B41" s="49" t="inlineStr">
        <is>
          <t>Band 3</t>
        </is>
      </c>
      <c r="C41" s="49" t="inlineStr">
        <is>
          <t>Carl M Svernlöv</t>
        </is>
      </c>
      <c r="D41" s="49" t="inlineStr">
        <is>
          <t>Baker McKenzie</t>
        </is>
      </c>
      <c r="E41" s="49" t="inlineStr">
        <is>
          <t>Baker McKenzie</t>
        </is>
      </c>
    </row>
    <row r="42">
      <c r="A42" s="49" t="inlineStr">
        <is>
          <t>Chambers</t>
        </is>
      </c>
      <c r="B42" s="49" t="inlineStr">
        <is>
          <t>Band 3</t>
        </is>
      </c>
      <c r="C42" s="49" t="inlineStr">
        <is>
          <t>Peter Lilja</t>
        </is>
      </c>
      <c r="D42" s="49" t="inlineStr">
        <is>
          <t>Cirio</t>
        </is>
      </c>
      <c r="E42" s="49" t="inlineStr">
        <is>
          <t>Cirio Advokatbyrå AB</t>
        </is>
      </c>
    </row>
    <row r="43">
      <c r="A43" s="49" t="inlineStr">
        <is>
          <t>Chambers</t>
        </is>
      </c>
      <c r="B43" s="49" t="inlineStr">
        <is>
          <t>Band 3</t>
        </is>
      </c>
      <c r="C43" s="49" t="inlineStr">
        <is>
          <t>Fredrik Palm</t>
        </is>
      </c>
      <c r="D43" s="49" t="inlineStr">
        <is>
          <t>Gernandt &amp; Danielsson</t>
        </is>
      </c>
      <c r="E43" s="49" t="inlineStr">
        <is>
          <t>Gernandt &amp; Danielsson Advokatbyrå KB</t>
        </is>
      </c>
    </row>
    <row r="44">
      <c r="A44" s="49" t="inlineStr">
        <is>
          <t>Chambers</t>
        </is>
      </c>
      <c r="B44" s="49" t="inlineStr">
        <is>
          <t>Band 3</t>
        </is>
      </c>
      <c r="C44" s="49" t="inlineStr">
        <is>
          <t>Elisabet Lundgren</t>
        </is>
      </c>
      <c r="D44" s="49" t="inlineStr">
        <is>
          <t>Linklaters</t>
        </is>
      </c>
      <c r="E44" s="49" t="inlineStr">
        <is>
          <t>Linklaters Advokatbyrå</t>
        </is>
      </c>
    </row>
    <row r="45">
      <c r="A45" s="49" t="inlineStr">
        <is>
          <t>Chambers</t>
        </is>
      </c>
      <c r="B45" s="49" t="inlineStr">
        <is>
          <t>Band 3</t>
        </is>
      </c>
      <c r="C45" s="49" t="inlineStr">
        <is>
          <t>Isabella Ramsay</t>
        </is>
      </c>
      <c r="D45" s="49" t="inlineStr">
        <is>
          <t>Mannheimer Swartling</t>
        </is>
      </c>
      <c r="E45" s="49" t="inlineStr">
        <is>
          <t>Mannheimer Swartling</t>
        </is>
      </c>
    </row>
    <row r="46">
      <c r="A46" s="49" t="inlineStr">
        <is>
          <t>Chambers</t>
        </is>
      </c>
      <c r="B46" s="49" t="inlineStr">
        <is>
          <t>Band 3</t>
        </is>
      </c>
      <c r="C46" s="49" t="inlineStr">
        <is>
          <t>Patrik Marcelius</t>
        </is>
      </c>
      <c r="D46" s="49" t="inlineStr">
        <is>
          <t>Mannheimer Swartling</t>
        </is>
      </c>
      <c r="E46" s="49" t="inlineStr">
        <is>
          <t>Mannheimer Swartling</t>
        </is>
      </c>
    </row>
    <row r="47">
      <c r="A47" s="49" t="inlineStr">
        <is>
          <t>Chambers</t>
        </is>
      </c>
      <c r="B47" s="49" t="inlineStr">
        <is>
          <t>Band 3</t>
        </is>
      </c>
      <c r="C47" s="49" t="inlineStr">
        <is>
          <t>Björn Winström</t>
        </is>
      </c>
      <c r="D47" s="49" t="inlineStr">
        <is>
          <t>Roschier</t>
        </is>
      </c>
      <c r="E47" s="49" t="inlineStr">
        <is>
          <t>Roschier</t>
        </is>
      </c>
    </row>
    <row r="48">
      <c r="A48" s="49" t="inlineStr">
        <is>
          <t>Chambers</t>
        </is>
      </c>
      <c r="B48" s="49" t="inlineStr">
        <is>
          <t>Band 3</t>
        </is>
      </c>
      <c r="C48" s="49" t="inlineStr">
        <is>
          <t>Jonas Johansson</t>
        </is>
      </c>
      <c r="D48" s="49" t="inlineStr">
        <is>
          <t>Vinge</t>
        </is>
      </c>
      <c r="E48" s="49" t="inlineStr">
        <is>
          <t>Advokatfirman Vinge KB</t>
        </is>
      </c>
    </row>
    <row r="49">
      <c r="A49" s="49" t="inlineStr">
        <is>
          <t>Legal 500</t>
        </is>
      </c>
      <c r="B49" s="49" t="inlineStr">
        <is>
          <t>Hall of Fame</t>
        </is>
      </c>
      <c r="C49" s="49" t="inlineStr">
        <is>
          <t>Carl Svernlöv</t>
        </is>
      </c>
      <c r="D49" s="49" t="inlineStr">
        <is>
          <t>Baker McKenzie</t>
        </is>
      </c>
      <c r="E49" s="49" t="inlineStr">
        <is>
          <t>Baker McKenzie</t>
        </is>
      </c>
    </row>
    <row r="50">
      <c r="A50" s="49" t="inlineStr">
        <is>
          <t>Legal 500</t>
        </is>
      </c>
      <c r="B50" s="49" t="inlineStr">
        <is>
          <t>Hall of Fame</t>
        </is>
      </c>
      <c r="C50" s="49" t="inlineStr">
        <is>
          <t>Ola Åhman</t>
        </is>
      </c>
      <c r="D50" s="49" t="inlineStr">
        <is>
          <t>Hammarskiöld</t>
        </is>
      </c>
      <c r="E50" s="49" t="inlineStr">
        <is>
          <t>Hammarskiöld</t>
        </is>
      </c>
    </row>
    <row r="51">
      <c r="A51" s="49" t="inlineStr">
        <is>
          <t>Legal 500</t>
        </is>
      </c>
      <c r="B51" s="49" t="inlineStr">
        <is>
          <t>Hall of Fame</t>
        </is>
      </c>
      <c r="C51" s="49" t="inlineStr">
        <is>
          <t>Adam Green</t>
        </is>
      </c>
      <c r="D51" s="49" t="inlineStr">
        <is>
          <t>Mannheimer Swartling</t>
        </is>
      </c>
      <c r="E51" s="49" t="inlineStr">
        <is>
          <t>Mannheimer Swartling</t>
        </is>
      </c>
    </row>
    <row r="52">
      <c r="A52" s="49" t="inlineStr">
        <is>
          <t>Legal 500</t>
        </is>
      </c>
      <c r="B52" s="49" t="inlineStr">
        <is>
          <t>Hall of Fame</t>
        </is>
      </c>
      <c r="C52" s="49" t="inlineStr">
        <is>
          <t>Johan Hallén</t>
        </is>
      </c>
      <c r="D52" s="49" t="inlineStr">
        <is>
          <t>Setterwalls</t>
        </is>
      </c>
      <c r="E52" s="49" t="inlineStr">
        <is>
          <t>Setterwalls</t>
        </is>
      </c>
    </row>
    <row r="53">
      <c r="A53" s="49" t="inlineStr">
        <is>
          <t>Legal 500</t>
        </is>
      </c>
      <c r="B53" s="49" t="inlineStr">
        <is>
          <t>Leading partners</t>
        </is>
      </c>
      <c r="C53" s="49" t="inlineStr">
        <is>
          <t>Carl-Johan Deuschl</t>
        </is>
      </c>
      <c r="D53" s="49" t="inlineStr">
        <is>
          <t>Cederquist</t>
        </is>
      </c>
      <c r="E53" s="49" t="inlineStr">
        <is>
          <t>Advokatfirman Cederquist KB</t>
        </is>
      </c>
    </row>
    <row r="54">
      <c r="A54" s="49" t="inlineStr">
        <is>
          <t>Legal 500</t>
        </is>
      </c>
      <c r="B54" s="49" t="inlineStr">
        <is>
          <t>Leading partners</t>
        </is>
      </c>
      <c r="C54" s="49" t="inlineStr">
        <is>
          <t>Anders Malmström</t>
        </is>
      </c>
      <c r="D54" s="49" t="inlineStr">
        <is>
          <t>DLA Piper</t>
        </is>
      </c>
      <c r="E54" s="49" t="inlineStr">
        <is>
          <t>DLA Piper Sweden</t>
        </is>
      </c>
    </row>
    <row r="55">
      <c r="A55" s="49" t="inlineStr">
        <is>
          <t>Legal 500</t>
        </is>
      </c>
      <c r="B55" s="49" t="inlineStr">
        <is>
          <t>Leading partners</t>
        </is>
      </c>
      <c r="C55" s="49" t="inlineStr">
        <is>
          <t>Carl Westerberg</t>
        </is>
      </c>
      <c r="D55" s="49" t="inlineStr">
        <is>
          <t>Gernandt &amp; Danielsson</t>
        </is>
      </c>
      <c r="E55" s="49" t="inlineStr">
        <is>
          <t>Gernandt &amp; Danielsson Advokatbyrå</t>
        </is>
      </c>
    </row>
    <row r="56">
      <c r="A56" s="49" t="inlineStr">
        <is>
          <t>Legal 500</t>
        </is>
      </c>
      <c r="B56" s="49" t="inlineStr">
        <is>
          <t>Leading partners</t>
        </is>
      </c>
      <c r="C56" s="49" t="inlineStr">
        <is>
          <t>Corinne Ekman</t>
        </is>
      </c>
      <c r="D56" s="49" t="inlineStr">
        <is>
          <t>Gernandt &amp; Danielsson</t>
        </is>
      </c>
      <c r="E56" s="49" t="inlineStr">
        <is>
          <t>Gernandt &amp; Danielsson Advokatbyrå</t>
        </is>
      </c>
    </row>
    <row r="57">
      <c r="A57" s="49" t="inlineStr">
        <is>
          <t>Legal 500</t>
        </is>
      </c>
      <c r="B57" s="49" t="inlineStr">
        <is>
          <t>Leading partners</t>
        </is>
      </c>
      <c r="C57" s="49" t="inlineStr">
        <is>
          <t>Jan Holmius</t>
        </is>
      </c>
      <c r="D57" s="49" t="inlineStr">
        <is>
          <t>Mannheimer Swartling</t>
        </is>
      </c>
      <c r="E57" s="49" t="inlineStr">
        <is>
          <t>Mannheimer Swartling</t>
        </is>
      </c>
    </row>
    <row r="58">
      <c r="A58" s="49" t="inlineStr">
        <is>
          <t>Legal 500</t>
        </is>
      </c>
      <c r="B58" s="49" t="inlineStr">
        <is>
          <t>Leading partners</t>
        </is>
      </c>
      <c r="C58" s="49" t="inlineStr">
        <is>
          <t>Martin Pekkari</t>
        </is>
      </c>
      <c r="D58" s="49" t="inlineStr">
        <is>
          <t>Mannheimer Swartling</t>
        </is>
      </c>
      <c r="E58" s="49" t="inlineStr">
        <is>
          <t>Mannheimer Swartling</t>
        </is>
      </c>
    </row>
    <row r="59">
      <c r="A59" s="49" t="inlineStr">
        <is>
          <t>Legal 500</t>
        </is>
      </c>
      <c r="B59" s="49" t="inlineStr">
        <is>
          <t>Leading partners</t>
        </is>
      </c>
      <c r="C59" s="49" t="inlineStr">
        <is>
          <t>Racine Ashjari</t>
        </is>
      </c>
      <c r="D59" s="49" t="inlineStr">
        <is>
          <t>Morris Law</t>
        </is>
      </c>
      <c r="E59" s="49" t="inlineStr">
        <is>
          <t>Morris Law</t>
        </is>
      </c>
    </row>
    <row r="60">
      <c r="A60" s="49" t="inlineStr">
        <is>
          <t>Legal 500</t>
        </is>
      </c>
      <c r="B60" s="49" t="inlineStr">
        <is>
          <t>Leading partners</t>
        </is>
      </c>
      <c r="C60" s="49" t="inlineStr">
        <is>
          <t>Jens Bengtsson</t>
        </is>
      </c>
      <c r="D60" s="49" t="inlineStr">
        <is>
          <t>Roschier</t>
        </is>
      </c>
      <c r="E60" s="49" t="inlineStr">
        <is>
          <t>Roschier</t>
        </is>
      </c>
    </row>
    <row r="61">
      <c r="A61" s="49" t="inlineStr">
        <is>
          <t>Legal 500</t>
        </is>
      </c>
      <c r="B61" s="49" t="inlineStr">
        <is>
          <t>Leading partners</t>
        </is>
      </c>
      <c r="C61" s="49" t="inlineStr">
        <is>
          <t>Malin Leffler</t>
        </is>
      </c>
      <c r="D61" s="49" t="inlineStr">
        <is>
          <t>Roschier</t>
        </is>
      </c>
      <c r="E61" s="49" t="inlineStr">
        <is>
          <t>Roschier</t>
        </is>
      </c>
    </row>
    <row r="62">
      <c r="A62" s="49" t="inlineStr">
        <is>
          <t>Legal 500</t>
        </is>
      </c>
      <c r="B62" s="49" t="inlineStr">
        <is>
          <t>Leading partners</t>
        </is>
      </c>
      <c r="C62" s="49" t="inlineStr">
        <is>
          <t>Mattias Detterfelt</t>
        </is>
      </c>
      <c r="D62" s="49" t="inlineStr">
        <is>
          <t>Setterwalls</t>
        </is>
      </c>
      <c r="E62" s="49" t="inlineStr">
        <is>
          <t>Setterwalls</t>
        </is>
      </c>
    </row>
    <row r="63">
      <c r="A63" s="49" t="inlineStr">
        <is>
          <t>Legal 500</t>
        </is>
      </c>
      <c r="B63" s="49" t="inlineStr">
        <is>
          <t>Leading partners</t>
        </is>
      </c>
      <c r="C63" s="49" t="inlineStr">
        <is>
          <t>Claes Kjellberg</t>
        </is>
      </c>
      <c r="D63" s="49" t="inlineStr">
        <is>
          <t>Snellman</t>
        </is>
      </c>
      <c r="E63" s="49" t="inlineStr">
        <is>
          <t>Snellman</t>
        </is>
      </c>
    </row>
    <row r="64">
      <c r="A64" s="49" t="inlineStr">
        <is>
          <t>Legal 500</t>
        </is>
      </c>
      <c r="B64" s="49" t="inlineStr">
        <is>
          <t>Leading partners</t>
        </is>
      </c>
      <c r="C64" s="49" t="inlineStr">
        <is>
          <t>Johan Steen</t>
        </is>
      </c>
      <c r="D64" s="49" t="inlineStr">
        <is>
          <t>White &amp; Case</t>
        </is>
      </c>
      <c r="E64" s="49" t="inlineStr">
        <is>
          <t>White &amp; Case Advokat AB</t>
        </is>
      </c>
    </row>
    <row r="65">
      <c r="A65" s="49" t="inlineStr">
        <is>
          <t>Legal 500</t>
        </is>
      </c>
      <c r="B65" s="49" t="inlineStr">
        <is>
          <t>Next Generation Partners</t>
        </is>
      </c>
      <c r="C65" s="49" t="inlineStr">
        <is>
          <t>Johanna Wärnberg</t>
        </is>
      </c>
      <c r="D65" s="49" t="inlineStr">
        <is>
          <t>BAHR</t>
        </is>
      </c>
      <c r="E65" s="49" t="inlineStr">
        <is>
          <t>BAHR</t>
        </is>
      </c>
    </row>
    <row r="66">
      <c r="A66" s="49" t="inlineStr">
        <is>
          <t>Legal 500</t>
        </is>
      </c>
      <c r="B66" s="49" t="inlineStr">
        <is>
          <t>Next Generation Partners</t>
        </is>
      </c>
      <c r="C66" s="49" t="inlineStr">
        <is>
          <t>Viktor Eriksson</t>
        </is>
      </c>
      <c r="D66" s="49" t="inlineStr">
        <is>
          <t>Cederquist</t>
        </is>
      </c>
      <c r="E66" s="49" t="inlineStr">
        <is>
          <t>Advokatfirman Cederquist KB</t>
        </is>
      </c>
    </row>
    <row r="67">
      <c r="A67" s="49" t="inlineStr">
        <is>
          <t>Legal 500</t>
        </is>
      </c>
      <c r="B67" s="49" t="inlineStr">
        <is>
          <t>Next Generation Partners</t>
        </is>
      </c>
      <c r="C67" s="49" t="inlineStr">
        <is>
          <t>Rasmus Kindlund</t>
        </is>
      </c>
      <c r="D67" s="49" t="inlineStr">
        <is>
          <t>Linklaters</t>
        </is>
      </c>
      <c r="E67" s="49" t="inlineStr">
        <is>
          <t>Linklaters</t>
        </is>
      </c>
    </row>
    <row r="68">
      <c r="A68" s="49" t="inlineStr">
        <is>
          <t>Legal 500</t>
        </is>
      </c>
      <c r="B68" s="49" t="inlineStr">
        <is>
          <t>Next Generation Partners</t>
        </is>
      </c>
      <c r="C68" s="49" t="inlineStr">
        <is>
          <t>Jon Rastad</t>
        </is>
      </c>
      <c r="D68" s="49" t="inlineStr">
        <is>
          <t>Mannheimer Swartling</t>
        </is>
      </c>
      <c r="E68" s="49" t="inlineStr">
        <is>
          <t>Mannheimer Swartling</t>
        </is>
      </c>
    </row>
    <row r="70">
      <c r="A70" s="118" t="inlineStr">
        <is>
          <t>Private equity</t>
        </is>
      </c>
    </row>
    <row r="71">
      <c r="A71" s="99" t="inlineStr">
        <is>
          <t>Directory</t>
        </is>
      </c>
      <c r="B71" s="99" t="inlineStr">
        <is>
          <t>Ranking</t>
        </is>
      </c>
      <c r="C71" s="99" t="inlineStr">
        <is>
          <t>Lawyer</t>
        </is>
      </c>
      <c r="D71" s="99" t="inlineStr">
        <is>
          <t>Firm</t>
        </is>
      </c>
      <c r="E71" s="99" t="inlineStr">
        <is>
          <t>Firm (as listed)</t>
        </is>
      </c>
    </row>
    <row r="72">
      <c r="A72" s="49" t="inlineStr">
        <is>
          <t>Chambers</t>
        </is>
      </c>
      <c r="B72" s="49" t="inlineStr">
        <is>
          <t>Band 1</t>
        </is>
      </c>
      <c r="C72" s="49" t="inlineStr">
        <is>
          <t>Jens Bengtsson</t>
        </is>
      </c>
      <c r="D72" s="49" t="inlineStr">
        <is>
          <t>Roschier</t>
        </is>
      </c>
      <c r="E72" s="49" t="inlineStr">
        <is>
          <t>Roschier</t>
        </is>
      </c>
    </row>
    <row r="73">
      <c r="A73" s="49" t="inlineStr">
        <is>
          <t>Chambers</t>
        </is>
      </c>
      <c r="B73" s="49" t="inlineStr">
        <is>
          <t>Band 1</t>
        </is>
      </c>
      <c r="C73" s="49" t="inlineStr">
        <is>
          <t>Christina Kokko</t>
        </is>
      </c>
      <c r="D73" s="49" t="inlineStr">
        <is>
          <t>Vinge</t>
        </is>
      </c>
      <c r="E73" s="49" t="inlineStr">
        <is>
          <t>Advokatfirman Vinge KB</t>
        </is>
      </c>
    </row>
    <row r="74">
      <c r="A74" s="49" t="inlineStr">
        <is>
          <t>Chambers</t>
        </is>
      </c>
      <c r="B74" s="49" t="inlineStr">
        <is>
          <t>Band 2</t>
        </is>
      </c>
      <c r="C74" s="49" t="inlineStr">
        <is>
          <t>Carl Westerberg</t>
        </is>
      </c>
      <c r="D74" s="49" t="inlineStr">
        <is>
          <t>Gernandt &amp; Danielsson</t>
        </is>
      </c>
      <c r="E74" s="49" t="inlineStr">
        <is>
          <t>Gernandt &amp; Danielsson Advokatbyrå KB</t>
        </is>
      </c>
    </row>
    <row r="75">
      <c r="A75" s="49" t="inlineStr">
        <is>
          <t>Chambers</t>
        </is>
      </c>
      <c r="B75" s="49" t="inlineStr">
        <is>
          <t>Band 2</t>
        </is>
      </c>
      <c r="C75" s="49" t="inlineStr">
        <is>
          <t>Jan Holmius</t>
        </is>
      </c>
      <c r="D75" s="49" t="inlineStr">
        <is>
          <t>Mannheimer Swartling</t>
        </is>
      </c>
      <c r="E75" s="49" t="inlineStr">
        <is>
          <t>Mannheimer Swartling</t>
        </is>
      </c>
    </row>
    <row r="76">
      <c r="A76" s="49" t="inlineStr">
        <is>
          <t>Chambers</t>
        </is>
      </c>
      <c r="B76" s="49" t="inlineStr">
        <is>
          <t>Band 2</t>
        </is>
      </c>
      <c r="C76" s="49" t="inlineStr">
        <is>
          <t>Malin Leffler</t>
        </is>
      </c>
      <c r="D76" s="49" t="inlineStr">
        <is>
          <t>Roschier</t>
        </is>
      </c>
      <c r="E76" s="49" t="inlineStr">
        <is>
          <t>Roschier</t>
        </is>
      </c>
    </row>
    <row r="77">
      <c r="A77" s="49" t="inlineStr">
        <is>
          <t>Chambers</t>
        </is>
      </c>
      <c r="B77" s="49" t="inlineStr">
        <is>
          <t>Band 2</t>
        </is>
      </c>
      <c r="C77" s="49" t="inlineStr">
        <is>
          <t>Mattias Detterfelt</t>
        </is>
      </c>
      <c r="D77" s="49" t="inlineStr">
        <is>
          <t>Setterwalls</t>
        </is>
      </c>
      <c r="E77" s="49" t="inlineStr">
        <is>
          <t>Setterwalls</t>
        </is>
      </c>
    </row>
    <row r="78">
      <c r="A78" s="49" t="inlineStr">
        <is>
          <t>Chambers</t>
        </is>
      </c>
      <c r="B78" s="49" t="inlineStr">
        <is>
          <t>Band 2</t>
        </is>
      </c>
      <c r="C78" s="49" t="inlineStr">
        <is>
          <t>Jonas Bergström</t>
        </is>
      </c>
      <c r="D78" s="49" t="inlineStr">
        <is>
          <t>Vinge</t>
        </is>
      </c>
      <c r="E78" s="49" t="inlineStr">
        <is>
          <t>Advokatfirman Vinge KB</t>
        </is>
      </c>
    </row>
    <row r="79">
      <c r="A79" s="49" t="inlineStr">
        <is>
          <t>Chambers</t>
        </is>
      </c>
      <c r="B79" s="49" t="inlineStr">
        <is>
          <t>Band 3</t>
        </is>
      </c>
      <c r="C79" s="49" t="inlineStr">
        <is>
          <t>Costin Mihailescu</t>
        </is>
      </c>
      <c r="D79" s="49" t="inlineStr">
        <is>
          <t>Baker McKenzie</t>
        </is>
      </c>
      <c r="E79" s="49" t="inlineStr">
        <is>
          <t>Baker McKenzie</t>
        </is>
      </c>
    </row>
    <row r="80">
      <c r="A80" s="49" t="inlineStr">
        <is>
          <t>Chambers</t>
        </is>
      </c>
      <c r="B80" s="49" t="inlineStr">
        <is>
          <t>Band 3</t>
        </is>
      </c>
      <c r="C80" s="49" t="inlineStr">
        <is>
          <t>Mikael Moreira</t>
        </is>
      </c>
      <c r="D80" s="49" t="inlineStr">
        <is>
          <t>DLA Piper</t>
        </is>
      </c>
      <c r="E80" s="49" t="inlineStr">
        <is>
          <t>DLA Piper</t>
        </is>
      </c>
    </row>
    <row r="81">
      <c r="A81" s="49" t="inlineStr">
        <is>
          <t>Chambers</t>
        </is>
      </c>
      <c r="B81" s="49" t="inlineStr">
        <is>
          <t>Band 3</t>
        </is>
      </c>
      <c r="C81" s="49" t="inlineStr">
        <is>
          <t>Isabella Ramsay</t>
        </is>
      </c>
      <c r="D81" s="49" t="inlineStr">
        <is>
          <t>Mannheimer Swartling</t>
        </is>
      </c>
      <c r="E81" s="49" t="inlineStr">
        <is>
          <t>Mannheimer Swartling</t>
        </is>
      </c>
    </row>
    <row r="82">
      <c r="A82" s="49" t="inlineStr">
        <is>
          <t>Chambers</t>
        </is>
      </c>
      <c r="B82" s="49" t="inlineStr">
        <is>
          <t>Band 3</t>
        </is>
      </c>
      <c r="C82" s="49" t="inlineStr">
        <is>
          <t>Mikael Klang</t>
        </is>
      </c>
      <c r="D82" s="49" t="inlineStr">
        <is>
          <t>Snellman</t>
        </is>
      </c>
      <c r="E82" s="49" t="inlineStr">
        <is>
          <t>Snellman Advokatbyrå AB</t>
        </is>
      </c>
    </row>
    <row r="83">
      <c r="A83" s="49" t="inlineStr">
        <is>
          <t>Chambers</t>
        </is>
      </c>
      <c r="B83" s="49" t="inlineStr">
        <is>
          <t>Band 3</t>
        </is>
      </c>
      <c r="C83" s="49" t="inlineStr">
        <is>
          <t>Johan Winnerblad</t>
        </is>
      </c>
      <c r="D83" s="49" t="inlineStr">
        <is>
          <t>Vinge</t>
        </is>
      </c>
      <c r="E83" s="49" t="inlineStr">
        <is>
          <t>Advokatfirman Vinge KB</t>
        </is>
      </c>
    </row>
    <row r="84">
      <c r="A84" s="49" t="inlineStr">
        <is>
          <t>Chambers</t>
        </is>
      </c>
      <c r="B84" s="49" t="inlineStr">
        <is>
          <t>Band 3</t>
        </is>
      </c>
      <c r="C84" s="49" t="inlineStr">
        <is>
          <t>Jonas Johansson</t>
        </is>
      </c>
      <c r="D84" s="49" t="inlineStr">
        <is>
          <t>Vinge</t>
        </is>
      </c>
      <c r="E84" s="49" t="inlineStr">
        <is>
          <t>Advokatfirman Vinge KB</t>
        </is>
      </c>
    </row>
    <row r="85">
      <c r="A85" s="49" t="inlineStr">
        <is>
          <t>Chambers</t>
        </is>
      </c>
      <c r="B85" s="49" t="inlineStr">
        <is>
          <t>Band 3</t>
        </is>
      </c>
      <c r="C85" s="49" t="inlineStr">
        <is>
          <t>Johan Steen</t>
        </is>
      </c>
      <c r="D85" s="49" t="inlineStr">
        <is>
          <t>White &amp; Case</t>
        </is>
      </c>
      <c r="E85" s="49" t="inlineStr">
        <is>
          <t>White &amp; Case Advokat AB</t>
        </is>
      </c>
    </row>
    <row r="86">
      <c r="A86" s="49" t="inlineStr">
        <is>
          <t>Chambers</t>
        </is>
      </c>
      <c r="B86" s="49" t="inlineStr">
        <is>
          <t>Band 3</t>
        </is>
      </c>
      <c r="C86" s="49" t="inlineStr">
        <is>
          <t>Shoan Panahi</t>
        </is>
      </c>
      <c r="D86" s="49" t="inlineStr">
        <is>
          <t>White &amp; Case</t>
        </is>
      </c>
      <c r="E86" s="49" t="inlineStr">
        <is>
          <t>White &amp; Case Advokat AB</t>
        </is>
      </c>
    </row>
    <row r="88">
      <c r="A88" s="118" t="inlineStr">
        <is>
          <t>Banking &amp; finance</t>
        </is>
      </c>
    </row>
    <row r="89">
      <c r="A89" s="99" t="inlineStr">
        <is>
          <t>Directory</t>
        </is>
      </c>
      <c r="B89" s="99" t="inlineStr">
        <is>
          <t>Ranking</t>
        </is>
      </c>
      <c r="C89" s="99" t="inlineStr">
        <is>
          <t>Lawyer</t>
        </is>
      </c>
      <c r="D89" s="99" t="inlineStr">
        <is>
          <t>Firm</t>
        </is>
      </c>
      <c r="E89" s="99" t="inlineStr">
        <is>
          <t>Firm (as listed)</t>
        </is>
      </c>
    </row>
    <row r="90">
      <c r="A90" s="49" t="inlineStr">
        <is>
          <t>Chambers</t>
        </is>
      </c>
      <c r="B90" s="49" t="inlineStr">
        <is>
          <t>Band 1</t>
        </is>
      </c>
      <c r="C90" s="49" t="inlineStr">
        <is>
          <t>Per Henriksson</t>
        </is>
      </c>
      <c r="D90" s="49" t="inlineStr">
        <is>
          <t>Cederquist</t>
        </is>
      </c>
      <c r="E90" s="49" t="inlineStr">
        <is>
          <t>Advokatfirman Cederquist KB</t>
        </is>
      </c>
    </row>
    <row r="91">
      <c r="A91" s="49" t="inlineStr">
        <is>
          <t>Chambers</t>
        </is>
      </c>
      <c r="B91" s="49" t="inlineStr">
        <is>
          <t>Band 1</t>
        </is>
      </c>
      <c r="C91" s="49" t="inlineStr">
        <is>
          <t>Daniel Karlsson</t>
        </is>
      </c>
      <c r="D91" s="49" t="inlineStr">
        <is>
          <t>Mannheimer Swartling</t>
        </is>
      </c>
      <c r="E91" s="49" t="inlineStr">
        <is>
          <t>Mannheimer Swartling</t>
        </is>
      </c>
    </row>
    <row r="92">
      <c r="A92" s="49" t="inlineStr">
        <is>
          <t>Chambers</t>
        </is>
      </c>
      <c r="B92" s="49" t="inlineStr">
        <is>
          <t>Band 1</t>
        </is>
      </c>
      <c r="C92" s="49" t="inlineStr">
        <is>
          <t>Johan Lundberg</t>
        </is>
      </c>
      <c r="D92" s="49" t="inlineStr">
        <is>
          <t>RE:FI STHLM</t>
        </is>
      </c>
      <c r="E92" s="49" t="inlineStr">
        <is>
          <t>RE:FI STHLM</t>
        </is>
      </c>
    </row>
    <row r="93">
      <c r="A93" s="49" t="inlineStr">
        <is>
          <t>Chambers</t>
        </is>
      </c>
      <c r="B93" s="49" t="inlineStr">
        <is>
          <t>Band 2</t>
        </is>
      </c>
      <c r="C93" s="49" t="inlineStr">
        <is>
          <t>Magnus Wennerhorn</t>
        </is>
      </c>
      <c r="D93" s="49" t="inlineStr">
        <is>
          <t>Linklaters</t>
        </is>
      </c>
      <c r="E93" s="49" t="inlineStr">
        <is>
          <t>Linklaters Advokatbyrå</t>
        </is>
      </c>
    </row>
    <row r="94">
      <c r="A94" s="49" t="inlineStr">
        <is>
          <t>Chambers</t>
        </is>
      </c>
      <c r="B94" s="49" t="inlineStr">
        <is>
          <t>Band 2</t>
        </is>
      </c>
      <c r="C94" s="49" t="inlineStr">
        <is>
          <t>Andreas Zettergren</t>
        </is>
      </c>
      <c r="D94" s="49" t="inlineStr">
        <is>
          <t>Mannheimer Swartling</t>
        </is>
      </c>
      <c r="E94" s="49" t="inlineStr">
        <is>
          <t>Mannheimer Swartling</t>
        </is>
      </c>
    </row>
    <row r="95">
      <c r="A95" s="49" t="inlineStr">
        <is>
          <t>Chambers</t>
        </is>
      </c>
      <c r="B95" s="49" t="inlineStr">
        <is>
          <t>Band 2</t>
        </is>
      </c>
      <c r="C95" s="49" t="inlineStr">
        <is>
          <t>Carl Lindencrona</t>
        </is>
      </c>
      <c r="D95" s="49" t="inlineStr">
        <is>
          <t>Setterwalls</t>
        </is>
      </c>
      <c r="E95" s="49" t="inlineStr">
        <is>
          <t>Setterwalls</t>
        </is>
      </c>
    </row>
    <row r="96">
      <c r="A96" s="49" t="inlineStr">
        <is>
          <t>Chambers</t>
        </is>
      </c>
      <c r="B96" s="49" t="inlineStr">
        <is>
          <t>Band 2</t>
        </is>
      </c>
      <c r="C96" s="49" t="inlineStr">
        <is>
          <t>Mikael Magnusson</t>
        </is>
      </c>
      <c r="D96" s="49" t="inlineStr">
        <is>
          <t>Setterwalls</t>
        </is>
      </c>
      <c r="E96" s="49" t="inlineStr">
        <is>
          <t>Setterwalls</t>
        </is>
      </c>
    </row>
    <row r="97">
      <c r="A97" s="49" t="inlineStr">
        <is>
          <t>Chambers</t>
        </is>
      </c>
      <c r="B97" s="49" t="inlineStr">
        <is>
          <t>Band 2</t>
        </is>
      </c>
      <c r="C97" s="49" t="inlineStr">
        <is>
          <t>Oscar Liljeson</t>
        </is>
      </c>
      <c r="D97" s="49" t="inlineStr">
        <is>
          <t>White &amp; Case</t>
        </is>
      </c>
      <c r="E97" s="49" t="inlineStr">
        <is>
          <t>White &amp; Case Advokat AB</t>
        </is>
      </c>
    </row>
    <row r="98">
      <c r="A98" s="49" t="inlineStr">
        <is>
          <t>Chambers</t>
        </is>
      </c>
      <c r="B98" s="49" t="inlineStr">
        <is>
          <t>Band 3</t>
        </is>
      </c>
      <c r="C98" s="49" t="inlineStr">
        <is>
          <t>Mats Rooth</t>
        </is>
      </c>
      <c r="D98" s="49" t="inlineStr">
        <is>
          <t>Baker McKenzie</t>
        </is>
      </c>
      <c r="E98" s="49" t="inlineStr">
        <is>
          <t>Baker McKenzie</t>
        </is>
      </c>
    </row>
    <row r="99">
      <c r="A99" s="49" t="inlineStr">
        <is>
          <t>Chambers</t>
        </is>
      </c>
      <c r="B99" s="49" t="inlineStr">
        <is>
          <t>Band 3</t>
        </is>
      </c>
      <c r="C99" s="49" t="inlineStr">
        <is>
          <t>Jesper Johansson</t>
        </is>
      </c>
      <c r="D99" s="49" t="inlineStr">
        <is>
          <t>Cirio</t>
        </is>
      </c>
      <c r="E99" s="49" t="inlineStr">
        <is>
          <t>Cirio Advokatbyrå AB</t>
        </is>
      </c>
    </row>
    <row r="100">
      <c r="A100" s="49" t="inlineStr">
        <is>
          <t>Chambers</t>
        </is>
      </c>
      <c r="B100" s="49" t="inlineStr">
        <is>
          <t>Band 3</t>
        </is>
      </c>
      <c r="C100" s="49" t="inlineStr">
        <is>
          <t>Mikael Bolling</t>
        </is>
      </c>
      <c r="D100" s="49" t="inlineStr">
        <is>
          <t>Gernandt &amp; Danielsson</t>
        </is>
      </c>
      <c r="E100" s="49" t="inlineStr">
        <is>
          <t>Gernandt &amp; Danielsson Advokatbyrå KB</t>
        </is>
      </c>
    </row>
    <row r="101">
      <c r="A101" s="49" t="inlineStr">
        <is>
          <t>Chambers</t>
        </is>
      </c>
      <c r="B101" s="49" t="inlineStr">
        <is>
          <t>Band 3</t>
        </is>
      </c>
      <c r="C101" s="49" t="inlineStr">
        <is>
          <t>Daniel Khayyami</t>
        </is>
      </c>
      <c r="D101" s="49" t="inlineStr">
        <is>
          <t>Mannheimer Swartling</t>
        </is>
      </c>
      <c r="E101" s="49" t="inlineStr">
        <is>
          <t>Mannheimer Swartling</t>
        </is>
      </c>
    </row>
    <row r="102">
      <c r="A102" s="49" t="inlineStr">
        <is>
          <t>Chambers</t>
        </is>
      </c>
      <c r="B102" s="49" t="inlineStr">
        <is>
          <t>Band 3</t>
        </is>
      </c>
      <c r="C102" s="49" t="inlineStr">
        <is>
          <t>Zoran Stambolovski</t>
        </is>
      </c>
      <c r="D102" s="49" t="inlineStr">
        <is>
          <t>Mannheimer Swartling</t>
        </is>
      </c>
      <c r="E102" s="49" t="inlineStr">
        <is>
          <t>Mannheimer Swartling</t>
        </is>
      </c>
    </row>
    <row r="103">
      <c r="A103" s="49" t="inlineStr">
        <is>
          <t>Chambers</t>
        </is>
      </c>
      <c r="B103" s="49" t="inlineStr">
        <is>
          <t>Band 3</t>
        </is>
      </c>
      <c r="C103" s="49" t="inlineStr">
        <is>
          <t>Veronica Stiller</t>
        </is>
      </c>
      <c r="D103" s="49" t="inlineStr">
        <is>
          <t>Roschier</t>
        </is>
      </c>
      <c r="E103" s="49" t="inlineStr">
        <is>
          <t>Roschier</t>
        </is>
      </c>
    </row>
    <row r="104">
      <c r="A104" s="49" t="inlineStr">
        <is>
          <t>Chambers</t>
        </is>
      </c>
      <c r="B104" s="49" t="inlineStr">
        <is>
          <t>Band 3</t>
        </is>
      </c>
      <c r="C104" s="49" t="inlineStr">
        <is>
          <t>Cecilia Rudels</t>
        </is>
      </c>
      <c r="D104" s="49" t="inlineStr">
        <is>
          <t>TM &amp; Partners</t>
        </is>
      </c>
      <c r="E104" s="49" t="inlineStr">
        <is>
          <t>TM &amp; Partners</t>
        </is>
      </c>
    </row>
    <row r="105">
      <c r="A105" s="49" t="inlineStr">
        <is>
          <t>Chambers</t>
        </is>
      </c>
      <c r="B105" s="49" t="inlineStr">
        <is>
          <t>Band 3</t>
        </is>
      </c>
      <c r="C105" s="49" t="inlineStr">
        <is>
          <t>Tobhias Brandell</t>
        </is>
      </c>
      <c r="D105" s="49" t="inlineStr">
        <is>
          <t>TM &amp; Partners</t>
        </is>
      </c>
      <c r="E105" s="49" t="inlineStr">
        <is>
          <t>TM &amp; Partners</t>
        </is>
      </c>
    </row>
    <row r="106">
      <c r="A106" s="49" t="inlineStr">
        <is>
          <t>Chambers</t>
        </is>
      </c>
      <c r="B106" s="49" t="inlineStr">
        <is>
          <t>Band 3</t>
        </is>
      </c>
      <c r="C106" s="49" t="inlineStr">
        <is>
          <t>Albert Wållgren</t>
        </is>
      </c>
      <c r="D106" s="49" t="inlineStr">
        <is>
          <t>Vinge</t>
        </is>
      </c>
      <c r="E106" s="49" t="inlineStr">
        <is>
          <t>Advokatfirman Vinge KB</t>
        </is>
      </c>
    </row>
    <row r="107">
      <c r="A107" s="49" t="inlineStr">
        <is>
          <t>Chambers</t>
        </is>
      </c>
      <c r="B107" s="49" t="inlineStr">
        <is>
          <t>Band 3</t>
        </is>
      </c>
      <c r="C107" s="49" t="inlineStr">
        <is>
          <t>Mikael Ståhl</t>
        </is>
      </c>
      <c r="D107" s="49" t="inlineStr">
        <is>
          <t>Vinge</t>
        </is>
      </c>
      <c r="E107" s="49" t="inlineStr">
        <is>
          <t>Advokatfirman Vinge KB</t>
        </is>
      </c>
    </row>
    <row r="108">
      <c r="A108" s="49" t="inlineStr">
        <is>
          <t>Legal 500</t>
        </is>
      </c>
      <c r="B108" s="49" t="inlineStr">
        <is>
          <t>Hall of Fame</t>
        </is>
      </c>
      <c r="C108" s="49" t="inlineStr">
        <is>
          <t>Magnus Wennerhorn</t>
        </is>
      </c>
      <c r="D108" s="49" t="inlineStr">
        <is>
          <t>Linklaters</t>
        </is>
      </c>
      <c r="E108" s="49" t="inlineStr">
        <is>
          <t>Linklaters</t>
        </is>
      </c>
    </row>
    <row r="109">
      <c r="A109" s="49" t="inlineStr">
        <is>
          <t>Legal 500</t>
        </is>
      </c>
      <c r="B109" s="49" t="inlineStr">
        <is>
          <t>Hall of Fame</t>
        </is>
      </c>
      <c r="C109" s="49" t="inlineStr">
        <is>
          <t>Fredrik Olsson</t>
        </is>
      </c>
      <c r="D109" s="49" t="inlineStr">
        <is>
          <t>Snellman</t>
        </is>
      </c>
      <c r="E109" s="49" t="inlineStr">
        <is>
          <t>Snellman</t>
        </is>
      </c>
    </row>
    <row r="110">
      <c r="A110" s="49" t="inlineStr">
        <is>
          <t>Legal 500</t>
        </is>
      </c>
      <c r="B110" s="49" t="inlineStr">
        <is>
          <t>Leading partners</t>
        </is>
      </c>
      <c r="C110" s="49" t="inlineStr">
        <is>
          <t>Jesper Johansson</t>
        </is>
      </c>
      <c r="D110" s="49" t="inlineStr">
        <is>
          <t>Cirio</t>
        </is>
      </c>
      <c r="E110" s="49" t="inlineStr">
        <is>
          <t>Cirio Advokatbyrå AB</t>
        </is>
      </c>
    </row>
    <row r="111">
      <c r="A111" s="49" t="inlineStr">
        <is>
          <t>Legal 500</t>
        </is>
      </c>
      <c r="B111" s="49" t="inlineStr">
        <is>
          <t>Leading partners</t>
        </is>
      </c>
      <c r="C111" s="49" t="inlineStr">
        <is>
          <t>Björn Svensson</t>
        </is>
      </c>
      <c r="D111" s="49" t="inlineStr">
        <is>
          <t>Gernandt &amp; Danielsson</t>
        </is>
      </c>
      <c r="E111" s="49" t="inlineStr">
        <is>
          <t>Gernandt &amp; Danielsson Advokatbyrå</t>
        </is>
      </c>
    </row>
    <row r="112">
      <c r="A112" s="49" t="inlineStr">
        <is>
          <t>Legal 500</t>
        </is>
      </c>
      <c r="B112" s="49" t="inlineStr">
        <is>
          <t>Leading partners</t>
        </is>
      </c>
      <c r="C112" s="49" t="inlineStr">
        <is>
          <t>Niclas Rockborn</t>
        </is>
      </c>
      <c r="D112" s="49" t="inlineStr">
        <is>
          <t>Gernandt &amp; Danielsson</t>
        </is>
      </c>
      <c r="E112" s="49" t="inlineStr">
        <is>
          <t>Gernandt &amp; Danielsson Advokatbyrå</t>
        </is>
      </c>
    </row>
    <row r="113">
      <c r="A113" s="49" t="inlineStr">
        <is>
          <t>Legal 500</t>
        </is>
      </c>
      <c r="B113" s="49" t="inlineStr">
        <is>
          <t>Leading partners</t>
        </is>
      </c>
      <c r="C113" s="49" t="inlineStr">
        <is>
          <t>Sofie Viktorsson</t>
        </is>
      </c>
      <c r="D113" s="49" t="inlineStr">
        <is>
          <t>Gernandt &amp; Danielsson</t>
        </is>
      </c>
      <c r="E113" s="49" t="inlineStr">
        <is>
          <t>Gernandt &amp; Danielsson Advokatbyrå</t>
        </is>
      </c>
    </row>
    <row r="114">
      <c r="A114" s="49" t="inlineStr">
        <is>
          <t>Legal 500</t>
        </is>
      </c>
      <c r="B114" s="49" t="inlineStr">
        <is>
          <t>Leading partners</t>
        </is>
      </c>
      <c r="C114" s="49" t="inlineStr">
        <is>
          <t>Mattias Anjou</t>
        </is>
      </c>
      <c r="D114" s="49" t="inlineStr">
        <is>
          <t>Hammarskiöld</t>
        </is>
      </c>
      <c r="E114" s="49" t="inlineStr">
        <is>
          <t>Hammarskiöld</t>
        </is>
      </c>
    </row>
    <row r="115">
      <c r="A115" s="49" t="inlineStr">
        <is>
          <t>Legal 500</t>
        </is>
      </c>
      <c r="B115" s="49" t="inlineStr">
        <is>
          <t>Leading partners</t>
        </is>
      </c>
      <c r="C115" s="49" t="inlineStr">
        <is>
          <t>Björn Wendleby</t>
        </is>
      </c>
      <c r="D115" s="49" t="inlineStr">
        <is>
          <t>Harvest</t>
        </is>
      </c>
      <c r="E115" s="49" t="inlineStr">
        <is>
          <t>Harvest Advokatbyrå</t>
        </is>
      </c>
    </row>
    <row r="116">
      <c r="A116" s="49" t="inlineStr">
        <is>
          <t>Legal 500</t>
        </is>
      </c>
      <c r="B116" s="49" t="inlineStr">
        <is>
          <t>Leading partners</t>
        </is>
      </c>
      <c r="C116" s="49" t="inlineStr">
        <is>
          <t>Andreas Zettergren</t>
        </is>
      </c>
      <c r="D116" s="49" t="inlineStr">
        <is>
          <t>Mannheimer Swartling</t>
        </is>
      </c>
      <c r="E116" s="49" t="inlineStr">
        <is>
          <t>Mannheimer Swartling</t>
        </is>
      </c>
    </row>
    <row r="117">
      <c r="A117" s="49" t="inlineStr">
        <is>
          <t>Legal 500</t>
        </is>
      </c>
      <c r="B117" s="49" t="inlineStr">
        <is>
          <t>Leading partners</t>
        </is>
      </c>
      <c r="C117" s="49" t="inlineStr">
        <is>
          <t>Daniel Karlsson</t>
        </is>
      </c>
      <c r="D117" s="49" t="inlineStr">
        <is>
          <t>Mannheimer Swartling</t>
        </is>
      </c>
      <c r="E117" s="49" t="inlineStr">
        <is>
          <t>Mannheimer Swartling</t>
        </is>
      </c>
    </row>
    <row r="118">
      <c r="A118" s="49" t="inlineStr">
        <is>
          <t>Legal 500</t>
        </is>
      </c>
      <c r="B118" s="49" t="inlineStr">
        <is>
          <t>Leading partners</t>
        </is>
      </c>
      <c r="C118" s="49" t="inlineStr">
        <is>
          <t>Zoran Stambolovski</t>
        </is>
      </c>
      <c r="D118" s="49" t="inlineStr">
        <is>
          <t>Mannheimer Swartling</t>
        </is>
      </c>
      <c r="E118" s="49" t="inlineStr">
        <is>
          <t>Mannheimer Swartling</t>
        </is>
      </c>
    </row>
    <row r="119">
      <c r="A119" s="49" t="inlineStr">
        <is>
          <t>Legal 500</t>
        </is>
      </c>
      <c r="B119" s="49" t="inlineStr">
        <is>
          <t>Leading partners</t>
        </is>
      </c>
      <c r="C119" s="49" t="inlineStr">
        <is>
          <t>Veronica Stiller</t>
        </is>
      </c>
      <c r="D119" s="49" t="inlineStr">
        <is>
          <t>Roschier</t>
        </is>
      </c>
      <c r="E119" s="49" t="inlineStr">
        <is>
          <t>Roschier</t>
        </is>
      </c>
    </row>
    <row r="120">
      <c r="A120" s="49" t="inlineStr">
        <is>
          <t>Legal 500</t>
        </is>
      </c>
      <c r="B120" s="49" t="inlineStr">
        <is>
          <t>Leading partners</t>
        </is>
      </c>
      <c r="C120" s="49" t="inlineStr">
        <is>
          <t>Carl Lindencrona</t>
        </is>
      </c>
      <c r="D120" s="49" t="inlineStr">
        <is>
          <t>Setterwalls</t>
        </is>
      </c>
      <c r="E120" s="49" t="inlineStr">
        <is>
          <t>Setterwalls</t>
        </is>
      </c>
    </row>
    <row r="121">
      <c r="A121" s="49" t="inlineStr">
        <is>
          <t>Legal 500</t>
        </is>
      </c>
      <c r="B121" s="49" t="inlineStr">
        <is>
          <t>Leading partners</t>
        </is>
      </c>
      <c r="C121" s="49" t="inlineStr">
        <is>
          <t>Mikael Magnusson</t>
        </is>
      </c>
      <c r="D121" s="49" t="inlineStr">
        <is>
          <t>Setterwalls</t>
        </is>
      </c>
      <c r="E121" s="49" t="inlineStr">
        <is>
          <t>Setterwalls</t>
        </is>
      </c>
    </row>
    <row r="122">
      <c r="A122" s="49" t="inlineStr">
        <is>
          <t>Legal 500</t>
        </is>
      </c>
      <c r="B122" s="49" t="inlineStr">
        <is>
          <t>Leading partners</t>
        </is>
      </c>
      <c r="C122" s="49" t="inlineStr">
        <is>
          <t>Oscar Liljeson</t>
        </is>
      </c>
      <c r="D122" s="49" t="inlineStr">
        <is>
          <t>White &amp; Case</t>
        </is>
      </c>
      <c r="E122" s="49" t="inlineStr">
        <is>
          <t>White &amp; Case Advokat AB</t>
        </is>
      </c>
    </row>
    <row r="123">
      <c r="A123" s="49" t="inlineStr">
        <is>
          <t>Legal 500</t>
        </is>
      </c>
      <c r="B123" s="49" t="inlineStr">
        <is>
          <t>Next Generation Partners</t>
        </is>
      </c>
      <c r="C123" s="49" t="inlineStr">
        <is>
          <t>Berndt Pettersson</t>
        </is>
      </c>
      <c r="D123" s="49" t="inlineStr">
        <is>
          <t>Cederquist</t>
        </is>
      </c>
      <c r="E123" s="49" t="inlineStr">
        <is>
          <t>Advokatfirman Cederquist KB</t>
        </is>
      </c>
    </row>
    <row r="124">
      <c r="A124" s="49" t="inlineStr">
        <is>
          <t>Legal 500</t>
        </is>
      </c>
      <c r="B124" s="49" t="inlineStr">
        <is>
          <t>Next Generation Partners</t>
        </is>
      </c>
      <c r="C124" s="49" t="inlineStr">
        <is>
          <t>Joséphine Tessmar</t>
        </is>
      </c>
      <c r="D124" s="49" t="inlineStr">
        <is>
          <t>DLA Piper</t>
        </is>
      </c>
      <c r="E124" s="49" t="inlineStr">
        <is>
          <t>DLA Piper Sweden</t>
        </is>
      </c>
    </row>
    <row r="125">
      <c r="A125" s="49" t="inlineStr">
        <is>
          <t>Legal 500</t>
        </is>
      </c>
      <c r="B125" s="49" t="inlineStr">
        <is>
          <t>Next Generation Partners</t>
        </is>
      </c>
      <c r="C125" s="49" t="inlineStr">
        <is>
          <t>Rasmus Fahlén</t>
        </is>
      </c>
      <c r="D125" s="49" t="inlineStr">
        <is>
          <t>Hammarskiöld</t>
        </is>
      </c>
      <c r="E125" s="49" t="inlineStr">
        <is>
          <t>Hammarskiöld</t>
        </is>
      </c>
    </row>
    <row r="126">
      <c r="A126" s="49" t="inlineStr">
        <is>
          <t>Legal 500</t>
        </is>
      </c>
      <c r="B126" s="49" t="inlineStr">
        <is>
          <t>Next Generation Partners</t>
        </is>
      </c>
      <c r="C126" s="49" t="inlineStr">
        <is>
          <t>Daniel Khayyami</t>
        </is>
      </c>
      <c r="D126" s="49" t="inlineStr">
        <is>
          <t>Mannheimer Swartling</t>
        </is>
      </c>
      <c r="E126" s="49" t="inlineStr">
        <is>
          <t>Mannheimer Swartling</t>
        </is>
      </c>
    </row>
    <row r="127">
      <c r="A127" s="49" t="inlineStr">
        <is>
          <t>Legal 500</t>
        </is>
      </c>
      <c r="B127" s="49" t="inlineStr">
        <is>
          <t>Next Generation Partners</t>
        </is>
      </c>
      <c r="C127" s="49" t="inlineStr">
        <is>
          <t>Carl Brodén</t>
        </is>
      </c>
      <c r="D127" s="49" t="inlineStr">
        <is>
          <t>Roschier</t>
        </is>
      </c>
      <c r="E127" s="49" t="inlineStr">
        <is>
          <t>Roschier</t>
        </is>
      </c>
    </row>
    <row r="128">
      <c r="A128" s="49" t="inlineStr">
        <is>
          <t>Legal 500</t>
        </is>
      </c>
      <c r="B128" s="49" t="inlineStr">
        <is>
          <t>Next Generation Partners</t>
        </is>
      </c>
      <c r="C128" s="49" t="inlineStr">
        <is>
          <t>Carolina Wahlby</t>
        </is>
      </c>
      <c r="D128" s="49" t="inlineStr">
        <is>
          <t>Snellman</t>
        </is>
      </c>
      <c r="E128" s="49" t="inlineStr">
        <is>
          <t>Snellman</t>
        </is>
      </c>
    </row>
    <row r="130">
      <c r="A130" s="118" t="inlineStr">
        <is>
          <t>Dispute resolution</t>
        </is>
      </c>
    </row>
    <row r="131">
      <c r="A131" s="99" t="inlineStr">
        <is>
          <t>Directory</t>
        </is>
      </c>
      <c r="B131" s="99" t="inlineStr">
        <is>
          <t>Ranking</t>
        </is>
      </c>
      <c r="C131" s="99" t="inlineStr">
        <is>
          <t>Lawyer</t>
        </is>
      </c>
      <c r="D131" s="99" t="inlineStr">
        <is>
          <t>Firm</t>
        </is>
      </c>
      <c r="E131" s="99" t="inlineStr">
        <is>
          <t>Firm (as listed)</t>
        </is>
      </c>
    </row>
    <row r="132">
      <c r="A132" s="49" t="inlineStr">
        <is>
          <t>Chambers</t>
        </is>
      </c>
      <c r="B132" s="49" t="inlineStr">
        <is>
          <t>Band 1</t>
        </is>
      </c>
      <c r="C132" s="49" t="inlineStr">
        <is>
          <t>Kristoffer Löf</t>
        </is>
      </c>
      <c r="D132" s="49" t="inlineStr">
        <is>
          <t>Mannheimer Swartling</t>
        </is>
      </c>
      <c r="E132" s="49" t="inlineStr">
        <is>
          <t>Mannheimer Swartling</t>
        </is>
      </c>
    </row>
    <row r="133">
      <c r="A133" s="49" t="inlineStr">
        <is>
          <t>Chambers</t>
        </is>
      </c>
      <c r="B133" s="49" t="inlineStr">
        <is>
          <t>Band 1</t>
        </is>
      </c>
      <c r="C133" s="49" t="inlineStr">
        <is>
          <t>Robin Oldenstam</t>
        </is>
      </c>
      <c r="D133" s="49" t="inlineStr">
        <is>
          <t>Mannheimer Swartling</t>
        </is>
      </c>
      <c r="E133" s="49" t="inlineStr">
        <is>
          <t>Mannheimer Swartling</t>
        </is>
      </c>
    </row>
    <row r="134">
      <c r="A134" s="49" t="inlineStr">
        <is>
          <t>Chambers</t>
        </is>
      </c>
      <c r="B134" s="49" t="inlineStr">
        <is>
          <t>Band 1</t>
        </is>
      </c>
      <c r="C134" s="49" t="inlineStr">
        <is>
          <t>Johan Sidklev</t>
        </is>
      </c>
      <c r="D134" s="49" t="inlineStr">
        <is>
          <t>Roschier</t>
        </is>
      </c>
      <c r="E134" s="49" t="inlineStr">
        <is>
          <t>Roschier</t>
        </is>
      </c>
    </row>
    <row r="135">
      <c r="A135" s="49" t="inlineStr">
        <is>
          <t>Chambers</t>
        </is>
      </c>
      <c r="B135" s="49" t="inlineStr">
        <is>
          <t>Band 1</t>
        </is>
      </c>
      <c r="C135" s="49" t="inlineStr">
        <is>
          <t>Anders Reldén</t>
        </is>
      </c>
      <c r="D135" s="49" t="inlineStr">
        <is>
          <t>White &amp; Case</t>
        </is>
      </c>
      <c r="E135" s="49" t="inlineStr">
        <is>
          <t>White &amp; Case Advokat AB</t>
        </is>
      </c>
    </row>
    <row r="136">
      <c r="A136" s="49" t="inlineStr">
        <is>
          <t>Chambers</t>
        </is>
      </c>
      <c r="B136" s="49" t="inlineStr">
        <is>
          <t>Band 2</t>
        </is>
      </c>
      <c r="C136" s="49" t="inlineStr">
        <is>
          <t>Torgny Wetterberg</t>
        </is>
      </c>
      <c r="D136" s="49" t="inlineStr">
        <is>
          <t>A1 Advokater</t>
        </is>
      </c>
      <c r="E136" s="49" t="inlineStr">
        <is>
          <t>A1 Advokater</t>
        </is>
      </c>
    </row>
    <row r="137">
      <c r="A137" s="49" t="inlineStr">
        <is>
          <t>Chambers</t>
        </is>
      </c>
      <c r="B137" s="49" t="inlineStr">
        <is>
          <t>Band 2</t>
        </is>
      </c>
      <c r="C137" s="49" t="inlineStr">
        <is>
          <t>Erik Wernberg</t>
        </is>
      </c>
      <c r="D137" s="49" t="inlineStr">
        <is>
          <t>Cederquist</t>
        </is>
      </c>
      <c r="E137" s="49" t="inlineStr">
        <is>
          <t>Advokatfirman Cederquist KB</t>
        </is>
      </c>
    </row>
    <row r="138">
      <c r="A138" s="49" t="inlineStr">
        <is>
          <t>Chambers</t>
        </is>
      </c>
      <c r="B138" s="49" t="inlineStr">
        <is>
          <t>Band 2</t>
        </is>
      </c>
      <c r="C138" s="49" t="inlineStr">
        <is>
          <t>Fredrik Forssman</t>
        </is>
      </c>
      <c r="D138" s="49" t="inlineStr">
        <is>
          <t>Cederquist</t>
        </is>
      </c>
      <c r="E138" s="49" t="inlineStr">
        <is>
          <t>Advokatfirman Cederquist KB</t>
        </is>
      </c>
    </row>
    <row r="139">
      <c r="A139" s="49" t="inlineStr">
        <is>
          <t>Chambers</t>
        </is>
      </c>
      <c r="B139" s="49" t="inlineStr">
        <is>
          <t>Band 2</t>
        </is>
      </c>
      <c r="C139" s="49" t="inlineStr">
        <is>
          <t>Magnus Eriksson</t>
        </is>
      </c>
      <c r="D139" s="49" t="inlineStr">
        <is>
          <t>Kastell</t>
        </is>
      </c>
      <c r="E139" s="49" t="inlineStr">
        <is>
          <t>Kastell Advokatbyrå</t>
        </is>
      </c>
    </row>
    <row r="140">
      <c r="A140" s="49" t="inlineStr">
        <is>
          <t>Chambers</t>
        </is>
      </c>
      <c r="B140" s="49" t="inlineStr">
        <is>
          <t>Band 2</t>
        </is>
      </c>
      <c r="C140" s="49" t="inlineStr">
        <is>
          <t>James Hope</t>
        </is>
      </c>
      <c r="D140" s="49" t="inlineStr">
        <is>
          <t>Vinge</t>
        </is>
      </c>
      <c r="E140" s="49" t="inlineStr">
        <is>
          <t>Advokatfirman Vinge KB</t>
        </is>
      </c>
    </row>
    <row r="141">
      <c r="A141" s="49" t="inlineStr">
        <is>
          <t>Chambers</t>
        </is>
      </c>
      <c r="B141" s="49" t="inlineStr">
        <is>
          <t>Band 2</t>
        </is>
      </c>
      <c r="C141" s="49" t="inlineStr">
        <is>
          <t>Mattias Rosengren</t>
        </is>
      </c>
      <c r="D141" s="49" t="inlineStr">
        <is>
          <t>Vinge</t>
        </is>
      </c>
      <c r="E141" s="49" t="inlineStr">
        <is>
          <t>Advokatfirman Vinge KB</t>
        </is>
      </c>
    </row>
    <row r="142">
      <c r="A142" s="49" t="inlineStr">
        <is>
          <t>Chambers</t>
        </is>
      </c>
      <c r="B142" s="49" t="inlineStr">
        <is>
          <t>Band 2</t>
        </is>
      </c>
      <c r="C142" s="49" t="inlineStr">
        <is>
          <t>Martin Wallin</t>
        </is>
      </c>
      <c r="D142" s="49" t="inlineStr">
        <is>
          <t>Wallin &amp; Partners</t>
        </is>
      </c>
      <c r="E142" s="49" t="inlineStr">
        <is>
          <t>Wallin &amp; Partners</t>
        </is>
      </c>
    </row>
    <row r="143">
      <c r="A143" s="49" t="inlineStr">
        <is>
          <t>Chambers</t>
        </is>
      </c>
      <c r="B143" s="49" t="inlineStr">
        <is>
          <t>Band 3</t>
        </is>
      </c>
      <c r="C143" s="49" t="inlineStr">
        <is>
          <t>Ola Hansson</t>
        </is>
      </c>
      <c r="D143" s="49" t="inlineStr">
        <is>
          <t>BAHR</t>
        </is>
      </c>
      <c r="E143" s="49" t="inlineStr">
        <is>
          <t>BAHR</t>
        </is>
      </c>
    </row>
    <row r="144">
      <c r="A144" s="49" t="inlineStr">
        <is>
          <t>Chambers</t>
        </is>
      </c>
      <c r="B144" s="49" t="inlineStr">
        <is>
          <t>Band 3</t>
        </is>
      </c>
      <c r="C144" s="49" t="inlineStr">
        <is>
          <t>Daniel Waerme</t>
        </is>
      </c>
      <c r="D144" s="49" t="inlineStr">
        <is>
          <t>Gernandt &amp; Danielsson</t>
        </is>
      </c>
      <c r="E144" s="49" t="inlineStr">
        <is>
          <t>Gernandt &amp; Danielsson Advokatbyrå KB</t>
        </is>
      </c>
    </row>
    <row r="145">
      <c r="A145" s="49" t="inlineStr">
        <is>
          <t>Chambers</t>
        </is>
      </c>
      <c r="B145" s="49" t="inlineStr">
        <is>
          <t>Band 3</t>
        </is>
      </c>
      <c r="C145" s="49" t="inlineStr">
        <is>
          <t>Pontus Ewerlöf</t>
        </is>
      </c>
      <c r="D145" s="49" t="inlineStr">
        <is>
          <t>Gernandt &amp; Danielsson</t>
        </is>
      </c>
      <c r="E145" s="49" t="inlineStr">
        <is>
          <t>Gernandt &amp; Danielsson Advokatbyrå KB</t>
        </is>
      </c>
    </row>
    <row r="146">
      <c r="A146" s="49" t="inlineStr">
        <is>
          <t>Chambers</t>
        </is>
      </c>
      <c r="B146" s="49" t="inlineStr">
        <is>
          <t>Band 3</t>
        </is>
      </c>
      <c r="C146" s="49" t="inlineStr">
        <is>
          <t>Sandra Kaznova</t>
        </is>
      </c>
      <c r="D146" s="49" t="inlineStr">
        <is>
          <t>Hammarskiöld</t>
        </is>
      </c>
      <c r="E146" s="49" t="inlineStr">
        <is>
          <t>Advokatfirman Hammarskiöld &amp; Co AB</t>
        </is>
      </c>
    </row>
    <row r="147">
      <c r="A147" s="49" t="inlineStr">
        <is>
          <t>Chambers</t>
        </is>
      </c>
      <c r="B147" s="49" t="inlineStr">
        <is>
          <t>Band 3</t>
        </is>
      </c>
      <c r="C147" s="49" t="inlineStr">
        <is>
          <t>Henrik Bielenstein</t>
        </is>
      </c>
      <c r="D147" s="49" t="inlineStr">
        <is>
          <t>Kastell</t>
        </is>
      </c>
      <c r="E147" s="49" t="inlineStr">
        <is>
          <t>Kastell Advokatbyrå</t>
        </is>
      </c>
    </row>
    <row r="148">
      <c r="A148" s="49" t="inlineStr">
        <is>
          <t>Chambers</t>
        </is>
      </c>
      <c r="B148" s="49" t="inlineStr">
        <is>
          <t>Band 3</t>
        </is>
      </c>
      <c r="C148" s="49" t="inlineStr">
        <is>
          <t>Mattias Göransson Rondin</t>
        </is>
      </c>
      <c r="D148" s="49" t="inlineStr">
        <is>
          <t>Mannheimer Swartling</t>
        </is>
      </c>
      <c r="E148" s="49" t="inlineStr">
        <is>
          <t>Mannheimer Swartling</t>
        </is>
      </c>
    </row>
    <row r="149">
      <c r="A149" s="49" t="inlineStr">
        <is>
          <t>Chambers</t>
        </is>
      </c>
      <c r="B149" s="49" t="inlineStr">
        <is>
          <t>Band 3</t>
        </is>
      </c>
      <c r="C149" s="49" t="inlineStr">
        <is>
          <t>Fredrik Norburg</t>
        </is>
      </c>
      <c r="D149" s="49" t="inlineStr">
        <is>
          <t>Norburg &amp; Scherp</t>
        </is>
      </c>
      <c r="E149" s="49" t="inlineStr">
        <is>
          <t>Norburg &amp; Scherp Advokatbyrå</t>
        </is>
      </c>
    </row>
    <row r="150">
      <c r="A150" s="49" t="inlineStr">
        <is>
          <t>Chambers</t>
        </is>
      </c>
      <c r="B150" s="49" t="inlineStr">
        <is>
          <t>Band 3</t>
        </is>
      </c>
      <c r="C150" s="49" t="inlineStr">
        <is>
          <t>Pontus Scherp</t>
        </is>
      </c>
      <c r="D150" s="49" t="inlineStr">
        <is>
          <t>Norburg &amp; Scherp</t>
        </is>
      </c>
      <c r="E150" s="49" t="inlineStr">
        <is>
          <t>Norburg &amp; Scherp Advokatbyrå</t>
        </is>
      </c>
    </row>
    <row r="151">
      <c r="A151" s="49" t="inlineStr">
        <is>
          <t>Chambers</t>
        </is>
      </c>
      <c r="B151" s="49" t="inlineStr">
        <is>
          <t>Band 3</t>
        </is>
      </c>
      <c r="C151" s="49" t="inlineStr">
        <is>
          <t>Johan Strömbäck</t>
        </is>
      </c>
      <c r="D151" s="49" t="inlineStr">
        <is>
          <t>Setterwalls</t>
        </is>
      </c>
      <c r="E151" s="49" t="inlineStr">
        <is>
          <t>Setterwalls</t>
        </is>
      </c>
    </row>
    <row r="152">
      <c r="A152" s="49" t="inlineStr">
        <is>
          <t>Chambers</t>
        </is>
      </c>
      <c r="B152" s="49" t="inlineStr">
        <is>
          <t>Band 3</t>
        </is>
      </c>
      <c r="C152" s="49" t="inlineStr">
        <is>
          <t>Jonas Eklund</t>
        </is>
      </c>
      <c r="D152" s="49" t="inlineStr">
        <is>
          <t>Vinge</t>
        </is>
      </c>
      <c r="E152" s="49" t="inlineStr">
        <is>
          <t>Advokatfirman Vinge KB</t>
        </is>
      </c>
    </row>
    <row r="153">
      <c r="A153" s="49" t="inlineStr">
        <is>
          <t>Chambers</t>
        </is>
      </c>
      <c r="B153" s="49" t="inlineStr">
        <is>
          <t>Band 3</t>
        </is>
      </c>
      <c r="C153" s="49" t="inlineStr">
        <is>
          <t>Ginta Ahrel</t>
        </is>
      </c>
      <c r="D153" s="49" t="inlineStr">
        <is>
          <t>Westerberg &amp; Partners</t>
        </is>
      </c>
      <c r="E153" s="49" t="inlineStr">
        <is>
          <t>Westerberg &amp; Partners</t>
        </is>
      </c>
    </row>
    <row r="154">
      <c r="A154" s="49" t="inlineStr">
        <is>
          <t>Chambers</t>
        </is>
      </c>
      <c r="B154" s="49" t="inlineStr">
        <is>
          <t>Band 3</t>
        </is>
      </c>
      <c r="C154" s="49" t="inlineStr">
        <is>
          <t>Jesper Tiberg</t>
        </is>
      </c>
      <c r="D154" s="49" t="inlineStr">
        <is>
          <t>Westerberg &amp; Partners</t>
        </is>
      </c>
      <c r="E154" s="49" t="inlineStr">
        <is>
          <t>Westerberg &amp; Partners</t>
        </is>
      </c>
    </row>
    <row r="155">
      <c r="A155" s="49" t="inlineStr">
        <is>
          <t>Legal 500</t>
        </is>
      </c>
      <c r="B155" s="49" t="inlineStr">
        <is>
          <t>Hall of Fame</t>
        </is>
      </c>
      <c r="C155" s="49" t="inlineStr">
        <is>
          <t>Björn Tude</t>
        </is>
      </c>
      <c r="D155" s="49" t="inlineStr">
        <is>
          <t>Gernandt &amp; Danielsson</t>
        </is>
      </c>
      <c r="E155" s="49" t="inlineStr">
        <is>
          <t>Gernandt &amp; Danielsson Advokatbyrå</t>
        </is>
      </c>
    </row>
    <row r="156">
      <c r="A156" s="49" t="inlineStr">
        <is>
          <t>Legal 500</t>
        </is>
      </c>
      <c r="B156" s="49" t="inlineStr">
        <is>
          <t>Hall of Fame</t>
        </is>
      </c>
      <c r="C156" s="49" t="inlineStr">
        <is>
          <t>Robin Oldenstam</t>
        </is>
      </c>
      <c r="D156" s="49" t="inlineStr">
        <is>
          <t>Mannheimer Swartling</t>
        </is>
      </c>
      <c r="E156" s="49" t="inlineStr">
        <is>
          <t>Mannheimer Swartling</t>
        </is>
      </c>
    </row>
    <row r="157">
      <c r="A157" s="49" t="inlineStr">
        <is>
          <t>Legal 500</t>
        </is>
      </c>
      <c r="B157" s="49" t="inlineStr">
        <is>
          <t>Hall of Fame</t>
        </is>
      </c>
      <c r="C157" s="49" t="inlineStr">
        <is>
          <t>Martin Wallin</t>
        </is>
      </c>
      <c r="D157" s="49" t="inlineStr">
        <is>
          <t>Wallin &amp; Partners</t>
        </is>
      </c>
      <c r="E157" s="49" t="inlineStr">
        <is>
          <t>Advokatbyrån Wallin &amp; Partners AB</t>
        </is>
      </c>
    </row>
    <row r="158">
      <c r="A158" s="49" t="inlineStr">
        <is>
          <t>Legal 500</t>
        </is>
      </c>
      <c r="B158" s="49" t="inlineStr">
        <is>
          <t>Hall of Fame</t>
        </is>
      </c>
      <c r="C158" s="49" t="inlineStr">
        <is>
          <t>Anders Reldén</t>
        </is>
      </c>
      <c r="D158" s="49" t="inlineStr">
        <is>
          <t>White &amp; Case</t>
        </is>
      </c>
      <c r="E158" s="49" t="inlineStr">
        <is>
          <t>White &amp; Case Advokat AB</t>
        </is>
      </c>
    </row>
    <row r="159">
      <c r="A159" s="49" t="inlineStr">
        <is>
          <t>Legal 500</t>
        </is>
      </c>
      <c r="B159" s="49" t="inlineStr">
        <is>
          <t>Leading partners</t>
        </is>
      </c>
      <c r="C159" s="49" t="inlineStr">
        <is>
          <t>Harry Bergman</t>
        </is>
      </c>
      <c r="D159" s="49" t="inlineStr">
        <is>
          <t>CMS Wistrand</t>
        </is>
      </c>
      <c r="E159" s="49" t="inlineStr">
        <is>
          <t>CMS Wistrand</t>
        </is>
      </c>
    </row>
    <row r="160">
      <c r="A160" s="49" t="inlineStr">
        <is>
          <t>Legal 500</t>
        </is>
      </c>
      <c r="B160" s="49" t="inlineStr">
        <is>
          <t>Leading partners</t>
        </is>
      </c>
      <c r="C160" s="49" t="inlineStr">
        <is>
          <t>Elsa Arbrandt</t>
        </is>
      </c>
      <c r="D160" s="49" t="inlineStr">
        <is>
          <t>Cederquist</t>
        </is>
      </c>
      <c r="E160" s="49" t="inlineStr">
        <is>
          <t>Advokatfirman Cederquist KB</t>
        </is>
      </c>
    </row>
    <row r="161">
      <c r="A161" s="49" t="inlineStr">
        <is>
          <t>Legal 500</t>
        </is>
      </c>
      <c r="B161" s="49" t="inlineStr">
        <is>
          <t>Leading partners</t>
        </is>
      </c>
      <c r="C161" s="49" t="inlineStr">
        <is>
          <t>Erik Wernberg</t>
        </is>
      </c>
      <c r="D161" s="49" t="inlineStr">
        <is>
          <t>Cederquist</t>
        </is>
      </c>
      <c r="E161" s="49" t="inlineStr">
        <is>
          <t>Advokatfirman Cederquist KB</t>
        </is>
      </c>
    </row>
    <row r="162">
      <c r="A162" s="49" t="inlineStr">
        <is>
          <t>Legal 500</t>
        </is>
      </c>
      <c r="B162" s="49" t="inlineStr">
        <is>
          <t>Leading partners</t>
        </is>
      </c>
      <c r="C162" s="49" t="inlineStr">
        <is>
          <t>Daniel Waerme</t>
        </is>
      </c>
      <c r="D162" s="49" t="inlineStr">
        <is>
          <t>Gernandt &amp; Danielsson</t>
        </is>
      </c>
      <c r="E162" s="49" t="inlineStr">
        <is>
          <t>Gernandt &amp; Danielsson Advokatbyrå</t>
        </is>
      </c>
    </row>
    <row r="163">
      <c r="A163" s="49" t="inlineStr">
        <is>
          <t>Legal 500</t>
        </is>
      </c>
      <c r="B163" s="49" t="inlineStr">
        <is>
          <t>Leading partners</t>
        </is>
      </c>
      <c r="C163" s="49" t="inlineStr">
        <is>
          <t>Erika Finn</t>
        </is>
      </c>
      <c r="D163" s="49" t="inlineStr">
        <is>
          <t>Kilpatrick Townsend &amp; Stockton Advokat KB</t>
        </is>
      </c>
      <c r="E163" s="49" t="inlineStr">
        <is>
          <t>Kilpatrick Townsend &amp; Stockton Advokat KB</t>
        </is>
      </c>
    </row>
    <row r="164">
      <c r="A164" s="49" t="inlineStr">
        <is>
          <t>Legal 500</t>
        </is>
      </c>
      <c r="B164" s="49" t="inlineStr">
        <is>
          <t>Leading partners</t>
        </is>
      </c>
      <c r="C164" s="49" t="inlineStr">
        <is>
          <t>Kristoffer Löf</t>
        </is>
      </c>
      <c r="D164" s="49" t="inlineStr">
        <is>
          <t>Mannheimer Swartling</t>
        </is>
      </c>
      <c r="E164" s="49" t="inlineStr">
        <is>
          <t>Mannheimer Swartling</t>
        </is>
      </c>
    </row>
    <row r="165">
      <c r="A165" s="49" t="inlineStr">
        <is>
          <t>Legal 500</t>
        </is>
      </c>
      <c r="B165" s="49" t="inlineStr">
        <is>
          <t>Leading partners</t>
        </is>
      </c>
      <c r="C165" s="49" t="inlineStr">
        <is>
          <t>Johan Sidklev</t>
        </is>
      </c>
      <c r="D165" s="49" t="inlineStr">
        <is>
          <t>Roschier</t>
        </is>
      </c>
      <c r="E165" s="49" t="inlineStr">
        <is>
          <t>Roschier</t>
        </is>
      </c>
    </row>
    <row r="166">
      <c r="A166" s="49" t="inlineStr">
        <is>
          <t>Legal 500</t>
        </is>
      </c>
      <c r="B166" s="49" t="inlineStr">
        <is>
          <t>Leading partners</t>
        </is>
      </c>
      <c r="C166" s="49" t="inlineStr">
        <is>
          <t>Shirin Saif</t>
        </is>
      </c>
      <c r="D166" s="49" t="inlineStr">
        <is>
          <t>Roschier</t>
        </is>
      </c>
      <c r="E166" s="49" t="inlineStr">
        <is>
          <t>Roschier</t>
        </is>
      </c>
    </row>
    <row r="167">
      <c r="A167" s="49" t="inlineStr">
        <is>
          <t>Legal 500</t>
        </is>
      </c>
      <c r="B167" s="49" t="inlineStr">
        <is>
          <t>Leading partners</t>
        </is>
      </c>
      <c r="C167" s="49" t="inlineStr">
        <is>
          <t>Johan Strömbäck</t>
        </is>
      </c>
      <c r="D167" s="49" t="inlineStr">
        <is>
          <t>Setterwalls</t>
        </is>
      </c>
      <c r="E167" s="49" t="inlineStr">
        <is>
          <t>Setterwalls</t>
        </is>
      </c>
    </row>
    <row r="168">
      <c r="A168" s="49" t="inlineStr">
        <is>
          <t>Legal 500</t>
        </is>
      </c>
      <c r="B168" s="49" t="inlineStr">
        <is>
          <t>Leading partners</t>
        </is>
      </c>
      <c r="C168" s="49" t="inlineStr">
        <is>
          <t>Ginta Ahrel</t>
        </is>
      </c>
      <c r="D168" s="49" t="inlineStr">
        <is>
          <t>Westerberg &amp; Partners</t>
        </is>
      </c>
      <c r="E168" s="49" t="inlineStr">
        <is>
          <t>Westerberg &amp; Partners</t>
        </is>
      </c>
    </row>
    <row r="169">
      <c r="A169" s="49" t="inlineStr">
        <is>
          <t>Legal 500</t>
        </is>
      </c>
      <c r="B169" s="49" t="inlineStr">
        <is>
          <t>Leading partners</t>
        </is>
      </c>
      <c r="C169" s="49" t="inlineStr">
        <is>
          <t>Maria Fogdestam Agius</t>
        </is>
      </c>
      <c r="D169" s="49" t="inlineStr">
        <is>
          <t>Westerberg &amp; Partners</t>
        </is>
      </c>
      <c r="E169" s="49" t="inlineStr">
        <is>
          <t>Westerberg &amp; Partners</t>
        </is>
      </c>
    </row>
    <row r="170">
      <c r="A170" s="49" t="inlineStr">
        <is>
          <t>Legal 500</t>
        </is>
      </c>
      <c r="B170" s="49" t="inlineStr">
        <is>
          <t>Leading partners</t>
        </is>
      </c>
      <c r="C170" s="49" t="inlineStr">
        <is>
          <t>Therese Isaksson</t>
        </is>
      </c>
      <c r="D170" s="49" t="inlineStr">
        <is>
          <t>Westerberg &amp; Partners</t>
        </is>
      </c>
      <c r="E170" s="49" t="inlineStr">
        <is>
          <t>Westerberg &amp; Partners</t>
        </is>
      </c>
    </row>
    <row r="171">
      <c r="A171" s="49" t="inlineStr">
        <is>
          <t>Legal 500</t>
        </is>
      </c>
      <c r="B171" s="49" t="inlineStr">
        <is>
          <t>Next Generation Partners</t>
        </is>
      </c>
      <c r="C171" s="49" t="inlineStr">
        <is>
          <t>David Johansson</t>
        </is>
      </c>
      <c r="D171" s="49" t="inlineStr">
        <is>
          <t>DLA Piper</t>
        </is>
      </c>
      <c r="E171" s="49" t="inlineStr">
        <is>
          <t>DLA Piper Sweden</t>
        </is>
      </c>
    </row>
    <row r="172">
      <c r="A172" s="49" t="inlineStr">
        <is>
          <t>Legal 500</t>
        </is>
      </c>
      <c r="B172" s="49" t="inlineStr">
        <is>
          <t>Next Generation Partners</t>
        </is>
      </c>
      <c r="C172" s="49" t="inlineStr">
        <is>
          <t>Christoffer Nystedt</t>
        </is>
      </c>
      <c r="D172" s="49" t="inlineStr">
        <is>
          <t>Morris Law</t>
        </is>
      </c>
      <c r="E172" s="49" t="inlineStr">
        <is>
          <t>Morris Law</t>
        </is>
      </c>
    </row>
    <row r="173">
      <c r="A173" s="49" t="inlineStr">
        <is>
          <t>Legal 500</t>
        </is>
      </c>
      <c r="B173" s="49" t="inlineStr">
        <is>
          <t>Next Generation Partners</t>
        </is>
      </c>
      <c r="C173" s="49" t="inlineStr">
        <is>
          <t>Carl Persson</t>
        </is>
      </c>
      <c r="D173" s="49" t="inlineStr">
        <is>
          <t>Roschier</t>
        </is>
      </c>
      <c r="E173" s="49" t="inlineStr">
        <is>
          <t>Roschier</t>
        </is>
      </c>
    </row>
    <row r="174">
      <c r="A174" s="49" t="inlineStr">
        <is>
          <t>Legal 500</t>
        </is>
      </c>
      <c r="B174" s="49" t="inlineStr">
        <is>
          <t>Next Generation Partners</t>
        </is>
      </c>
      <c r="C174" s="49" t="inlineStr">
        <is>
          <t>Filippa Exelin</t>
        </is>
      </c>
      <c r="D174" s="49" t="inlineStr">
        <is>
          <t>White &amp; Case</t>
        </is>
      </c>
      <c r="E174" s="49" t="inlineStr">
        <is>
          <t>White &amp; Case Advokat AB</t>
        </is>
      </c>
    </row>
    <row r="176">
      <c r="A176" s="46" t="inlineStr">
        <is>
          <t>Highlighted firms below the top three levels (not shown above):</t>
        </is>
      </c>
    </row>
    <row r="177">
      <c r="A177" s="119" t="inlineStr">
        <is>
          <t>Chambers</t>
        </is>
      </c>
      <c r="B177" s="119" t="inlineStr">
        <is>
          <t>Band 4</t>
        </is>
      </c>
      <c r="C177" s="119" t="inlineStr">
        <is>
          <t>David Aversten</t>
        </is>
      </c>
      <c r="D177" s="119" t="inlineStr">
        <is>
          <t>Delphi</t>
        </is>
      </c>
      <c r="E177" s="119" t="inlineStr">
        <is>
          <t>Corporate / M&amp;A</t>
        </is>
      </c>
    </row>
    <row r="178">
      <c r="A178" s="119" t="inlineStr">
        <is>
          <t>Chambers</t>
        </is>
      </c>
      <c r="B178" s="119" t="inlineStr">
        <is>
          <t>Band 4</t>
        </is>
      </c>
      <c r="C178" s="119" t="inlineStr">
        <is>
          <t>Sverker Bonde</t>
        </is>
      </c>
      <c r="D178" s="119" t="inlineStr">
        <is>
          <t>Delphi</t>
        </is>
      </c>
      <c r="E178" s="119" t="inlineStr">
        <is>
          <t>Dispute resolution</t>
        </is>
      </c>
    </row>
    <row r="179">
      <c r="A179" s="119" t="inlineStr">
        <is>
          <t>Chambers</t>
        </is>
      </c>
      <c r="B179" s="119" t="inlineStr">
        <is>
          <t>Band 5</t>
        </is>
      </c>
      <c r="C179" s="119" t="inlineStr">
        <is>
          <t>Emil Andersson</t>
        </is>
      </c>
      <c r="D179" s="119" t="inlineStr">
        <is>
          <t>Delphi</t>
        </is>
      </c>
      <c r="E179" s="119" t="inlineStr">
        <is>
          <t>Dispute resolution</t>
        </is>
      </c>
    </row>
    <row r="180">
      <c r="A180" s="119" t="inlineStr">
        <is>
          <t>Chambers</t>
        </is>
      </c>
      <c r="B180" s="119" t="inlineStr">
        <is>
          <t>Band 4</t>
        </is>
      </c>
      <c r="C180" s="119" t="inlineStr">
        <is>
          <t>Jan Byström</t>
        </is>
      </c>
      <c r="D180" s="119" t="inlineStr">
        <is>
          <t>Lindahl</t>
        </is>
      </c>
      <c r="E180" s="119" t="inlineStr">
        <is>
          <t>Corporate / M&amp;A</t>
        </is>
      </c>
    </row>
    <row r="181">
      <c r="A181" s="119" t="inlineStr">
        <is>
          <t>Chambers</t>
        </is>
      </c>
      <c r="B181" s="119" t="inlineStr">
        <is>
          <t>Band 5</t>
        </is>
      </c>
      <c r="C181" s="119" t="inlineStr">
        <is>
          <t>David Ackebo</t>
        </is>
      </c>
      <c r="D181" s="119" t="inlineStr">
        <is>
          <t>Lindahl</t>
        </is>
      </c>
      <c r="E181" s="119" t="inlineStr">
        <is>
          <t>Dispute resolution</t>
        </is>
      </c>
    </row>
    <row r="182">
      <c r="A182" s="119" t="inlineStr">
        <is>
          <t>Chambers</t>
        </is>
      </c>
      <c r="B182" s="119" t="inlineStr">
        <is>
          <t>Band 4</t>
        </is>
      </c>
      <c r="C182" s="119" t="inlineStr">
        <is>
          <t>Jan Byström</t>
        </is>
      </c>
      <c r="D182" s="119" t="inlineStr">
        <is>
          <t>Lindahl</t>
        </is>
      </c>
      <c r="E182" s="119" t="inlineStr">
        <is>
          <t>Private equity</t>
        </is>
      </c>
    </row>
    <row r="183">
      <c r="A183" s="119" t="inlineStr">
        <is>
          <t>Chambers</t>
        </is>
      </c>
      <c r="B183" s="119" t="inlineStr">
        <is>
          <t>Band 5</t>
        </is>
      </c>
      <c r="C183" s="119" t="inlineStr">
        <is>
          <t>Anders Bäckman</t>
        </is>
      </c>
      <c r="D183" s="119" t="inlineStr">
        <is>
          <t>Magnusson</t>
        </is>
      </c>
      <c r="E183" s="119" t="inlineStr">
        <is>
          <t>Corporate / M&amp;A</t>
        </is>
      </c>
    </row>
    <row r="184">
      <c r="A184" s="119" t="inlineStr">
        <is>
          <t>Chambers</t>
        </is>
      </c>
      <c r="B184" s="119" t="inlineStr">
        <is>
          <t>Band 5</t>
        </is>
      </c>
      <c r="C184" s="119" t="inlineStr">
        <is>
          <t>Magdalena Berg</t>
        </is>
      </c>
      <c r="D184" s="119" t="inlineStr">
        <is>
          <t>Magnusson</t>
        </is>
      </c>
      <c r="E184" s="119" t="inlineStr">
        <is>
          <t>Dispute resolution</t>
        </is>
      </c>
    </row>
    <row r="185">
      <c r="A185" s="45" t="inlineStr">
        <is>
          <t>MAQS has no individually ranked lawyers in these four practice areas in either directory.</t>
        </is>
      </c>
    </row>
    <row r="187">
      <c r="A187" s="45" t="inlineStr">
        <is>
          <t>Sources: https://chambers.com/legal-guide/europe-7 (Sweden ranking tables); https://www.legal500.com/c/sweden/&lt;practice-area&gt;/lawyers</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1"/>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style="112" min="1" max="1"/>
    <col width="7" customWidth="1" style="112" min="2" max="2"/>
    <col width="22" customWidth="1" style="112" min="3" max="3"/>
    <col width="24" customWidth="1" style="112" min="4" max="4"/>
    <col width="24" customWidth="1" style="112" min="5" max="5"/>
    <col width="42" customWidth="1" style="112" min="6" max="6"/>
    <col width="18" customWidth="1" style="112" min="7" max="7"/>
    <col width="10" customWidth="1" style="112" min="8" max="8"/>
    <col width="11" customWidth="1" style="112" min="9" max="9"/>
    <col width="40" customWidth="1" style="112" min="10" max="10"/>
    <col width="60" customWidth="1" style="112" min="11" max="11"/>
  </cols>
  <sheetData>
    <row r="1">
      <c r="A1" s="1" t="inlineStr">
        <is>
          <t>B4. Partner pipeline: ranked lawyers in Corporate / M&amp;A, Private equity, Banking &amp; finance and Dispute resolution</t>
        </is>
      </c>
    </row>
    <row r="2" ht="90" customHeight="1" s="112">
      <c r="A2" s="2" t="inlineStr">
        <is>
          <t>Long list: 172 individually ranked lawyers (Chambers Europe 2026 all bands; Legal 500 Hall of Fame, Leading partners, Next Generation Partners) in the four practice areas where MAQS has no ranked lawyers. Priority A = 35, B = 65, C = 72. Score = firm pressure (-2 to +2: partner losses, restructuring, PE ownership; recently joined = -2) + career stage (+1 Band 3-5 / Next Gen / Up and Coming; 0 Band 2 / Leading partner; -1 Band 1 / Hall of Fame; -2 Eminent / Senior Statespeople) + seniority (+1 if ranked &lt;=6 years, -1 if &gt;=15) + affordability vs MAQS economics (+1 lower-paying firm, -1 high-paying firm) + mover history (+1 moved 2020-24, -1 moved 2024-26). A &gt;= 3; B = 1-2; C &lt;= 0. Scores are indicative screening aids, not assessments of individuals.</t>
        </is>
      </c>
    </row>
    <row r="4" ht="36" customHeight="1" s="112">
      <c r="A4" s="52" t="inlineStr">
        <is>
          <t>Priority</t>
        </is>
      </c>
      <c r="B4" s="52" t="inlineStr">
        <is>
          <t>Score</t>
        </is>
      </c>
      <c r="C4" s="52" t="inlineStr">
        <is>
          <t>Lawyer</t>
        </is>
      </c>
      <c r="D4" s="52" t="inlineStr">
        <is>
          <t>Current firm (per directory)</t>
        </is>
      </c>
      <c r="E4" s="52" t="inlineStr">
        <is>
          <t>Practice area(s)</t>
        </is>
      </c>
      <c r="F4" s="52" t="inlineStr">
        <is>
          <t>Rankings</t>
        </is>
      </c>
      <c r="G4" s="52" t="inlineStr">
        <is>
          <t>Position (Legal 500 profile)</t>
        </is>
      </c>
      <c r="H4" s="52" t="inlineStr">
        <is>
          <t>Chambers years ranked</t>
        </is>
      </c>
      <c r="I4" s="52" t="inlineStr">
        <is>
          <t>Current firm pay level</t>
        </is>
      </c>
      <c r="J4" s="52" t="inlineStr">
        <is>
          <t>Firm signal</t>
        </is>
      </c>
      <c r="K4" s="52" t="inlineStr">
        <is>
          <t>Approach angle / notes</t>
        </is>
      </c>
    </row>
    <row r="5">
      <c r="A5" s="120" t="inlineStr">
        <is>
          <t>A</t>
        </is>
      </c>
      <c r="B5" s="120" t="n">
        <v>5</v>
      </c>
      <c r="C5" s="121" t="inlineStr">
        <is>
          <t>Emil Andersson</t>
        </is>
      </c>
      <c r="D5" s="121" t="inlineStr">
        <is>
          <t>Delphi</t>
        </is>
      </c>
      <c r="E5" s="121" t="inlineStr">
        <is>
          <t>Dispute resolution</t>
        </is>
      </c>
      <c r="F5" s="121" t="inlineStr">
        <is>
          <t>Dispute resolution: CH: Band 5</t>
        </is>
      </c>
      <c r="G5" s="121" t="n"/>
      <c r="H5" s="120" t="n">
        <v>3</v>
      </c>
      <c r="I5" s="120" t="inlineStr">
        <is>
          <t>Lower</t>
        </is>
      </c>
      <c r="J5" s="121" t="inlineStr">
        <is>
          <t>Lost 4 partners to MAQS 2024-26; profit pool ~SEK 1.7m/partner</t>
        </is>
      </c>
      <c r="K5" s="121" t="inlineStr">
        <is>
          <t>Firm under pressure: Lost 4 partners to MAQS 2024-26; profit pool ~SEK 1.7m/partner; Mid-career / next-generation: room to lead and build a practice</t>
        </is>
      </c>
    </row>
    <row r="6">
      <c r="A6" s="120" t="inlineStr">
        <is>
          <t>A</t>
        </is>
      </c>
      <c r="B6" s="120" t="n">
        <v>4</v>
      </c>
      <c r="C6" s="121" t="inlineStr">
        <is>
          <t>Arthur Klintred</t>
        </is>
      </c>
      <c r="D6" s="121" t="inlineStr">
        <is>
          <t>Cederquist</t>
        </is>
      </c>
      <c r="E6" s="121" t="inlineStr">
        <is>
          <t>Banking &amp; finance</t>
        </is>
      </c>
      <c r="F6" s="121" t="inlineStr">
        <is>
          <t>Banking &amp; finance: CH: Up and Coming</t>
        </is>
      </c>
      <c r="G6" s="121" t="n"/>
      <c r="H6" s="120" t="n">
        <v>2</v>
      </c>
      <c r="I6" s="120" t="inlineStr">
        <is>
          <t>Medium</t>
        </is>
      </c>
      <c r="J6" s="121" t="inlineStr">
        <is>
          <t>3 partner exits 2023-25 incl. ex-MP (RE:FI STHLM spin-out)</t>
        </is>
      </c>
      <c r="K6" s="121" t="inlineStr">
        <is>
          <t>Firm under pressure: 3 partner exits 2023-25 incl. ex-MP (RE:FI STHLM spin-out); Mid-career / next-generation: room to lead and build a practice</t>
        </is>
      </c>
    </row>
    <row r="7">
      <c r="A7" s="120" t="inlineStr">
        <is>
          <t>A</t>
        </is>
      </c>
      <c r="B7" s="120" t="n">
        <v>4</v>
      </c>
      <c r="C7" s="121" t="inlineStr">
        <is>
          <t>Berndt Pettersson</t>
        </is>
      </c>
      <c r="D7" s="121" t="inlineStr">
        <is>
          <t>Cederquist</t>
        </is>
      </c>
      <c r="E7" s="121" t="inlineStr">
        <is>
          <t>Banking &amp; finance</t>
        </is>
      </c>
      <c r="F7" s="121" t="inlineStr">
        <is>
          <t>Banking &amp; finance: L500: Next Generation Partners, CH: Band 4</t>
        </is>
      </c>
      <c r="G7" s="121" t="inlineStr">
        <is>
          <t>Partner, Banking and Finance</t>
        </is>
      </c>
      <c r="H7" s="120" t="n">
        <v>3</v>
      </c>
      <c r="I7" s="120" t="inlineStr">
        <is>
          <t>Medium</t>
        </is>
      </c>
      <c r="J7" s="121" t="inlineStr">
        <is>
          <t>3 partner exits 2023-25 incl. ex-MP (RE:FI STHLM spin-out)</t>
        </is>
      </c>
      <c r="K7" s="121" t="inlineStr">
        <is>
          <t>Firm under pressure: 3 partner exits 2023-25 incl. ex-MP (RE:FI STHLM spin-out); Mid-career / next-generation: room to lead and build a practice</t>
        </is>
      </c>
    </row>
    <row r="8">
      <c r="A8" s="120" t="inlineStr">
        <is>
          <t>A</t>
        </is>
      </c>
      <c r="B8" s="120" t="n">
        <v>4</v>
      </c>
      <c r="C8" s="121" t="inlineStr">
        <is>
          <t>Pontus Röckert</t>
        </is>
      </c>
      <c r="D8" s="121" t="inlineStr">
        <is>
          <t>Cederquist</t>
        </is>
      </c>
      <c r="E8" s="121" t="inlineStr">
        <is>
          <t>Private equity</t>
        </is>
      </c>
      <c r="F8" s="121" t="inlineStr">
        <is>
          <t>Private equity: CH: Band 4</t>
        </is>
      </c>
      <c r="G8" s="121" t="n"/>
      <c r="H8" s="120" t="n">
        <v>4</v>
      </c>
      <c r="I8" s="120" t="inlineStr">
        <is>
          <t>Medium</t>
        </is>
      </c>
      <c r="J8" s="121" t="inlineStr">
        <is>
          <t>3 partner exits 2023-25 incl. ex-MP (RE:FI STHLM spin-out)</t>
        </is>
      </c>
      <c r="K8" s="121" t="inlineStr">
        <is>
          <t>Firm under pressure: 3 partner exits 2023-25 incl. ex-MP (RE:FI STHLM spin-out); Mid-career / next-generation: room to lead and build a practice</t>
        </is>
      </c>
    </row>
    <row r="9">
      <c r="A9" s="120" t="inlineStr">
        <is>
          <t>A</t>
        </is>
      </c>
      <c r="B9" s="120" t="n">
        <v>4</v>
      </c>
      <c r="C9" s="121" t="inlineStr">
        <is>
          <t>Sverker Bonde</t>
        </is>
      </c>
      <c r="D9" s="121" t="inlineStr">
        <is>
          <t>Delphi</t>
        </is>
      </c>
      <c r="E9" s="121" t="inlineStr">
        <is>
          <t>Dispute resolution</t>
        </is>
      </c>
      <c r="F9" s="121" t="inlineStr">
        <is>
          <t>Dispute resolution: CH: Band 4</t>
        </is>
      </c>
      <c r="G9" s="121" t="n"/>
      <c r="H9" s="120" t="n">
        <v>10</v>
      </c>
      <c r="I9" s="120" t="inlineStr">
        <is>
          <t>Lower</t>
        </is>
      </c>
      <c r="J9" s="121" t="inlineStr">
        <is>
          <t>Lost 4 partners to MAQS 2024-26; profit pool ~SEK 1.7m/partner</t>
        </is>
      </c>
      <c r="K9" s="121" t="inlineStr">
        <is>
          <t>Firm under pressure: Lost 4 partners to MAQS 2024-26; profit pool ~SEK 1.7m/partner; Mid-career / next-generation: room to lead and build a practice</t>
        </is>
      </c>
    </row>
    <row r="10">
      <c r="A10" s="120" t="inlineStr">
        <is>
          <t>A</t>
        </is>
      </c>
      <c r="B10" s="120" t="n">
        <v>4</v>
      </c>
      <c r="C10" s="121" t="inlineStr">
        <is>
          <t>Jonas Du Rietz</t>
        </is>
      </c>
      <c r="D10" s="121" t="inlineStr">
        <is>
          <t>Morris Law</t>
        </is>
      </c>
      <c r="E10" s="121" t="inlineStr">
        <is>
          <t>Dispute resolution</t>
        </is>
      </c>
      <c r="F10" s="121" t="inlineStr">
        <is>
          <t>Dispute resolution: CH: Band 5</t>
        </is>
      </c>
      <c r="G10" s="121" t="n"/>
      <c r="H10" s="120" t="n">
        <v>1</v>
      </c>
      <c r="I10" s="120" t="inlineStr">
        <is>
          <t>Lower</t>
        </is>
      </c>
      <c r="J10" s="121" t="inlineStr">
        <is>
          <t>AGRD (PE-owned) member: lawyers left the Bar; partners wishing to remain advokater may move</t>
        </is>
      </c>
      <c r="K10" s="121" t="inlineStr">
        <is>
          <t>AGRD (PE-owned) member: lawyers left the Bar; partners wishing to remain advokater may move; Mid-career / next-generation: room to lead and build a practice</t>
        </is>
      </c>
    </row>
    <row r="11">
      <c r="A11" s="120" t="inlineStr">
        <is>
          <t>A</t>
        </is>
      </c>
      <c r="B11" s="120" t="n">
        <v>4</v>
      </c>
      <c r="C11" s="121" t="inlineStr">
        <is>
          <t>Martin Rifall</t>
        </is>
      </c>
      <c r="D11" s="121" t="inlineStr">
        <is>
          <t>Snellman</t>
        </is>
      </c>
      <c r="E11" s="121" t="inlineStr">
        <is>
          <t>Dispute resolution</t>
        </is>
      </c>
      <c r="F11" s="121" t="inlineStr">
        <is>
          <t>Dispute resolution: CH: Band 4</t>
        </is>
      </c>
      <c r="G11" s="121" t="n"/>
      <c r="H11" s="120" t="n">
        <v>1</v>
      </c>
      <c r="I11" s="120" t="inlineStr">
        <is>
          <t>Medium</t>
        </is>
      </c>
      <c r="J11" s="121" t="inlineStr">
        <is>
          <t>Separated from Hannes Snellman (2024); ~5 partner exits since 2024 incl. heads of competition and disputes</t>
        </is>
      </c>
      <c r="K11" s="121" t="inlineStr">
        <is>
          <t>Firm under pressure: Separated from Hannes Snellman (2024); ~5 partner exits since 2024 incl. heads of competition and disputes; Mid-career / next-generation: room to lead and build a practice</t>
        </is>
      </c>
    </row>
    <row r="12">
      <c r="A12" s="120" t="inlineStr">
        <is>
          <t>A</t>
        </is>
      </c>
      <c r="B12" s="120" t="n">
        <v>4</v>
      </c>
      <c r="C12" s="121" t="inlineStr">
        <is>
          <t>Miklos Kovacs Scherlin</t>
        </is>
      </c>
      <c r="D12" s="121" t="inlineStr">
        <is>
          <t>Snellman</t>
        </is>
      </c>
      <c r="E12" s="121" t="inlineStr">
        <is>
          <t>Corporate / M&amp;A</t>
        </is>
      </c>
      <c r="F12" s="121" t="inlineStr">
        <is>
          <t>Corporate / M&amp;A: CH: Up and Coming</t>
        </is>
      </c>
      <c r="G12" s="121" t="n"/>
      <c r="H12" s="120" t="n">
        <v>1</v>
      </c>
      <c r="I12" s="120" t="inlineStr">
        <is>
          <t>Medium</t>
        </is>
      </c>
      <c r="J12" s="121" t="inlineStr">
        <is>
          <t>Separated from Hannes Snellman (2024); ~5 partner exits since 2024 incl. heads of competition and disputes</t>
        </is>
      </c>
      <c r="K12" s="121" t="inlineStr">
        <is>
          <t>Firm under pressure: Separated from Hannes Snellman (2024); ~5 partner exits since 2024 incl. heads of competition and disputes; Mid-career / next-generation: room to lead and build a practice</t>
        </is>
      </c>
    </row>
    <row r="13">
      <c r="A13" s="120" t="inlineStr">
        <is>
          <t>A</t>
        </is>
      </c>
      <c r="B13" s="120" t="n">
        <v>4</v>
      </c>
      <c r="C13" s="121" t="inlineStr">
        <is>
          <t>Anders Morén</t>
        </is>
      </c>
      <c r="D13" s="121" t="inlineStr">
        <is>
          <t>Wigge &amp; Partners</t>
        </is>
      </c>
      <c r="E13" s="121" t="inlineStr">
        <is>
          <t>Banking &amp; finance</t>
        </is>
      </c>
      <c r="F13" s="121" t="inlineStr">
        <is>
          <t>Banking &amp; finance: CH: Band 4</t>
        </is>
      </c>
      <c r="G13" s="121" t="n"/>
      <c r="H13" s="120" t="n">
        <v>4</v>
      </c>
      <c r="I13" s="120" t="inlineStr">
        <is>
          <t>Lower</t>
        </is>
      </c>
      <c r="J13" s="121" t="inlineStr">
        <is>
          <t>AGRD (PE-owned) member: lawyers left the Bar; partners wishing to remain advokater may move</t>
        </is>
      </c>
      <c r="K13" s="121" t="inlineStr">
        <is>
          <t>AGRD (PE-owned) member: lawyers left the Bar; partners wishing to remain advokater may move; Mid-career / next-generation: room to lead and build a practice</t>
        </is>
      </c>
    </row>
    <row r="14">
      <c r="A14" s="120" t="inlineStr">
        <is>
          <t>A</t>
        </is>
      </c>
      <c r="B14" s="120" t="n">
        <v>4</v>
      </c>
      <c r="C14" s="121" t="inlineStr">
        <is>
          <t>Lisa Antman</t>
        </is>
      </c>
      <c r="D14" s="121" t="inlineStr">
        <is>
          <t>Wigge &amp; Partners</t>
        </is>
      </c>
      <c r="E14" s="121" t="inlineStr">
        <is>
          <t>Banking &amp; finance</t>
        </is>
      </c>
      <c r="F14" s="121" t="inlineStr">
        <is>
          <t>Banking &amp; finance: CH: Band 4</t>
        </is>
      </c>
      <c r="G14" s="121" t="n"/>
      <c r="H14" s="120" t="n">
        <v>5</v>
      </c>
      <c r="I14" s="120" t="inlineStr">
        <is>
          <t>Lower</t>
        </is>
      </c>
      <c r="J14" s="121" t="inlineStr">
        <is>
          <t>AGRD (PE-owned) member: lawyers left the Bar; partners wishing to remain advokater may move</t>
        </is>
      </c>
      <c r="K14" s="121" t="inlineStr">
        <is>
          <t>AGRD (PE-owned) member: lawyers left the Bar; partners wishing to remain advokater may move; Mid-career / next-generation: room to lead and build a practice</t>
        </is>
      </c>
    </row>
    <row r="15">
      <c r="A15" s="120" t="inlineStr">
        <is>
          <t>A</t>
        </is>
      </c>
      <c r="B15" s="120" t="n">
        <v>3</v>
      </c>
      <c r="C15" s="121" t="inlineStr">
        <is>
          <t>Philippe Benalal</t>
        </is>
      </c>
      <c r="D15" s="121" t="inlineStr">
        <is>
          <t>A1 Advokater</t>
        </is>
      </c>
      <c r="E15" s="121" t="inlineStr">
        <is>
          <t>Dispute resolution</t>
        </is>
      </c>
      <c r="F15" s="121" t="inlineStr">
        <is>
          <t>Dispute resolution: CH: Band 5</t>
        </is>
      </c>
      <c r="G15" s="121" t="n"/>
      <c r="H15" s="120" t="n">
        <v>1</v>
      </c>
      <c r="I15" s="120" t="inlineStr">
        <is>
          <t>Lower</t>
        </is>
      </c>
      <c r="J15" s="121" t="n"/>
      <c r="K15" s="121" t="inlineStr">
        <is>
          <t>Mid-career / next-generation: room to lead and build a practice</t>
        </is>
      </c>
    </row>
    <row r="16">
      <c r="A16" s="120" t="inlineStr">
        <is>
          <t>A</t>
        </is>
      </c>
      <c r="B16" s="120" t="n">
        <v>3</v>
      </c>
      <c r="C16" s="121" t="inlineStr">
        <is>
          <t>Krister Azelius</t>
        </is>
      </c>
      <c r="D16" s="121" t="inlineStr">
        <is>
          <t>Azelius &amp; Partners</t>
        </is>
      </c>
      <c r="E16" s="121" t="inlineStr">
        <is>
          <t>Dispute resolution</t>
        </is>
      </c>
      <c r="F16" s="121" t="inlineStr">
        <is>
          <t>Dispute resolution: CH: Band 4</t>
        </is>
      </c>
      <c r="G16" s="121" t="n"/>
      <c r="H16" s="120" t="n">
        <v>0</v>
      </c>
      <c r="I16" s="120" t="inlineStr">
        <is>
          <t>Lower</t>
        </is>
      </c>
      <c r="J16" s="121" t="n"/>
      <c r="K16" s="121" t="inlineStr">
        <is>
          <t>Mid-career / next-generation: room to lead and build a practice</t>
        </is>
      </c>
    </row>
    <row r="17">
      <c r="A17" s="120" t="inlineStr">
        <is>
          <t>A</t>
        </is>
      </c>
      <c r="B17" s="120" t="n">
        <v>3</v>
      </c>
      <c r="C17" s="121" t="inlineStr">
        <is>
          <t>Costin Mihailescu</t>
        </is>
      </c>
      <c r="D17" s="121" t="inlineStr">
        <is>
          <t>Baker McKenzie</t>
        </is>
      </c>
      <c r="E17" s="121" t="inlineStr">
        <is>
          <t>Private equity</t>
        </is>
      </c>
      <c r="F17" s="121" t="inlineStr">
        <is>
          <t>Private equity: CH: Band 3</t>
        </is>
      </c>
      <c r="G17" s="121" t="n"/>
      <c r="H17" s="120" t="n">
        <v>9</v>
      </c>
      <c r="I17" s="120" t="inlineStr">
        <is>
          <t>Medium</t>
        </is>
      </c>
      <c r="J17" s="121" t="inlineStr">
        <is>
          <t>2 partner exits 2025-26; moving away from billable hour</t>
        </is>
      </c>
      <c r="K17" s="121" t="inlineStr">
        <is>
          <t>Firm under pressure: 2 partner exits 2025-26; moving away from billable hour; Mid-career / next-generation: room to lead and build a practice</t>
        </is>
      </c>
    </row>
    <row r="18">
      <c r="A18" s="120" t="inlineStr">
        <is>
          <t>A</t>
        </is>
      </c>
      <c r="B18" s="120" t="n">
        <v>3</v>
      </c>
      <c r="C18" s="121" t="inlineStr">
        <is>
          <t>Martin Ulfson</t>
        </is>
      </c>
      <c r="D18" s="121" t="inlineStr">
        <is>
          <t>Cederquist</t>
        </is>
      </c>
      <c r="E18" s="121" t="inlineStr">
        <is>
          <t>Private equity</t>
        </is>
      </c>
      <c r="F18" s="121" t="inlineStr">
        <is>
          <t>Private equity: CH: Band 4</t>
        </is>
      </c>
      <c r="G18" s="121" t="n"/>
      <c r="H18" s="120" t="n">
        <v>13</v>
      </c>
      <c r="I18" s="120" t="inlineStr">
        <is>
          <t>Medium</t>
        </is>
      </c>
      <c r="J18" s="121" t="inlineStr">
        <is>
          <t>3 partner exits 2023-25 incl. ex-MP (RE:FI STHLM spin-out)</t>
        </is>
      </c>
      <c r="K18" s="121" t="inlineStr">
        <is>
          <t>Firm under pressure: 3 partner exits 2023-25 incl. ex-MP (RE:FI STHLM spin-out); Mid-career / next-generation: room to lead and build a practice</t>
        </is>
      </c>
    </row>
    <row r="19">
      <c r="A19" s="120" t="inlineStr">
        <is>
          <t>A</t>
        </is>
      </c>
      <c r="B19" s="120" t="n">
        <v>3</v>
      </c>
      <c r="C19" s="121" t="inlineStr">
        <is>
          <t>Viktor Eriksson</t>
        </is>
      </c>
      <c r="D19" s="121" t="inlineStr">
        <is>
          <t>Cederquist</t>
        </is>
      </c>
      <c r="E19" s="121" t="inlineStr">
        <is>
          <t>Corporate / M&amp;A</t>
        </is>
      </c>
      <c r="F19" s="121" t="inlineStr">
        <is>
          <t>Corporate / M&amp;A: L500: Next Generation Partners</t>
        </is>
      </c>
      <c r="G19" s="121" t="inlineStr">
        <is>
          <t>Partner. M&amp;A</t>
        </is>
      </c>
      <c r="H19" s="120" t="n"/>
      <c r="I19" s="120" t="inlineStr">
        <is>
          <t>Medium</t>
        </is>
      </c>
      <c r="J19" s="121" t="inlineStr">
        <is>
          <t>3 partner exits 2023-25 incl. ex-MP (RE:FI STHLM spin-out)</t>
        </is>
      </c>
      <c r="K19" s="121" t="inlineStr">
        <is>
          <t>Firm under pressure: 3 partner exits 2023-25 incl. ex-MP (RE:FI STHLM spin-out); Mid-career / next-generation: room to lead and build a practice</t>
        </is>
      </c>
    </row>
    <row r="20">
      <c r="A20" s="120" t="inlineStr">
        <is>
          <t>A</t>
        </is>
      </c>
      <c r="B20" s="120" t="n">
        <v>3</v>
      </c>
      <c r="C20" s="121" t="inlineStr">
        <is>
          <t>David Aversten</t>
        </is>
      </c>
      <c r="D20" s="121" t="inlineStr">
        <is>
          <t>Delphi</t>
        </is>
      </c>
      <c r="E20" s="121" t="inlineStr">
        <is>
          <t>Corporate / M&amp;A</t>
        </is>
      </c>
      <c r="F20" s="121" t="inlineStr">
        <is>
          <t>Corporate / M&amp;A: CH: Band 4</t>
        </is>
      </c>
      <c r="G20" s="121" t="n"/>
      <c r="H20" s="120" t="n">
        <v>18</v>
      </c>
      <c r="I20" s="120" t="inlineStr">
        <is>
          <t>Lower</t>
        </is>
      </c>
      <c r="J20" s="121" t="inlineStr">
        <is>
          <t>Lost 4 partners to MAQS 2024-26; profit pool ~SEK 1.7m/partner</t>
        </is>
      </c>
      <c r="K20" s="121" t="inlineStr">
        <is>
          <t>Firm under pressure: Lost 4 partners to MAQS 2024-26; profit pool ~SEK 1.7m/partner; Mid-career / next-generation: room to lead and build a practice</t>
        </is>
      </c>
    </row>
    <row r="21">
      <c r="A21" s="120" t="inlineStr">
        <is>
          <t>A</t>
        </is>
      </c>
      <c r="B21" s="120" t="n">
        <v>3</v>
      </c>
      <c r="C21" s="121" t="inlineStr">
        <is>
          <t>Karl Eklund</t>
        </is>
      </c>
      <c r="D21" s="121" t="inlineStr">
        <is>
          <t>Kanter</t>
        </is>
      </c>
      <c r="E21" s="121" t="inlineStr">
        <is>
          <t>Corporate / M&amp;A</t>
        </is>
      </c>
      <c r="F21" s="121" t="inlineStr">
        <is>
          <t>Corporate / M&amp;A: CH: Up and Coming</t>
        </is>
      </c>
      <c r="G21" s="121" t="n"/>
      <c r="H21" s="120" t="n">
        <v>1</v>
      </c>
      <c r="I21" s="120" t="inlineStr">
        <is>
          <t>Lower</t>
        </is>
      </c>
      <c r="J21" s="121" t="n"/>
      <c r="K21" s="121" t="inlineStr">
        <is>
          <t>Mid-career / next-generation: room to lead and build a practice</t>
        </is>
      </c>
    </row>
    <row r="22">
      <c r="A22" s="120" t="inlineStr">
        <is>
          <t>A</t>
        </is>
      </c>
      <c r="B22" s="120" t="n">
        <v>3</v>
      </c>
      <c r="C22" s="121" t="inlineStr">
        <is>
          <t>Katarina Mild</t>
        </is>
      </c>
      <c r="D22" s="121" t="inlineStr">
        <is>
          <t>Kastell</t>
        </is>
      </c>
      <c r="E22" s="121" t="inlineStr">
        <is>
          <t>Dispute resolution</t>
        </is>
      </c>
      <c r="F22" s="121" t="inlineStr">
        <is>
          <t>Dispute resolution: CH: Band 4</t>
        </is>
      </c>
      <c r="G22" s="121" t="n"/>
      <c r="H22" s="120" t="n">
        <v>3</v>
      </c>
      <c r="I22" s="120" t="inlineStr">
        <is>
          <t>Lower</t>
        </is>
      </c>
      <c r="J22" s="121" t="n"/>
      <c r="K22" s="121" t="inlineStr">
        <is>
          <t>Mid-career / next-generation: room to lead and build a practice</t>
        </is>
      </c>
    </row>
    <row r="23">
      <c r="A23" s="120" t="inlineStr">
        <is>
          <t>A</t>
        </is>
      </c>
      <c r="B23" s="120" t="n">
        <v>3</v>
      </c>
      <c r="C23" s="121" t="inlineStr">
        <is>
          <t>David Ackebo</t>
        </is>
      </c>
      <c r="D23" s="121" t="inlineStr">
        <is>
          <t>Lindahl</t>
        </is>
      </c>
      <c r="E23" s="121" t="inlineStr">
        <is>
          <t>Dispute resolution</t>
        </is>
      </c>
      <c r="F23" s="121" t="inlineStr">
        <is>
          <t>Dispute resolution: CH: Band 5</t>
        </is>
      </c>
      <c r="G23" s="121" t="n"/>
      <c r="H23" s="120" t="n">
        <v>1</v>
      </c>
      <c r="I23" s="120" t="inlineStr">
        <is>
          <t>Lower</t>
        </is>
      </c>
      <c r="J23" s="121" t="n"/>
      <c r="K23" s="121" t="inlineStr">
        <is>
          <t>Mid-career / next-generation: room to lead and build a practice</t>
        </is>
      </c>
    </row>
    <row r="24">
      <c r="A24" s="120" t="inlineStr">
        <is>
          <t>A</t>
        </is>
      </c>
      <c r="B24" s="120" t="n">
        <v>3</v>
      </c>
      <c r="C24" s="121" t="inlineStr">
        <is>
          <t>Jan Byström</t>
        </is>
      </c>
      <c r="D24" s="121" t="inlineStr">
        <is>
          <t>Lindahl</t>
        </is>
      </c>
      <c r="E24" s="121" t="inlineStr">
        <is>
          <t>Corporate / M&amp;A; Private equity</t>
        </is>
      </c>
      <c r="F24" s="121" t="inlineStr">
        <is>
          <t>Corporate / M&amp;A: CH: Band 4 | Private equity: CH: Band 4</t>
        </is>
      </c>
      <c r="G24" s="121" t="n"/>
      <c r="H24" s="120" t="n">
        <v>13</v>
      </c>
      <c r="I24" s="120" t="inlineStr">
        <is>
          <t>Lower</t>
        </is>
      </c>
      <c r="J24" s="121" t="n"/>
      <c r="K24" s="121" t="inlineStr">
        <is>
          <t>Mid-career / next-generation: room to lead and build a practice; Has moved firm before (2020-24); Ranked in Corporate / M&amp;A &amp; Private equity</t>
        </is>
      </c>
    </row>
    <row r="25">
      <c r="A25" s="120" t="inlineStr">
        <is>
          <t>A</t>
        </is>
      </c>
      <c r="B25" s="120" t="n">
        <v>3</v>
      </c>
      <c r="C25" s="121" t="inlineStr">
        <is>
          <t>Moritz Veller</t>
        </is>
      </c>
      <c r="D25" s="121" t="inlineStr">
        <is>
          <t>MM Law Advokatbyrå AB</t>
        </is>
      </c>
      <c r="E25" s="121" t="inlineStr">
        <is>
          <t>Corporate / M&amp;A</t>
        </is>
      </c>
      <c r="F25" s="121" t="inlineStr">
        <is>
          <t>Corporate / M&amp;A: CH: Band 5</t>
        </is>
      </c>
      <c r="G25" s="121" t="n"/>
      <c r="H25" s="120" t="n">
        <v>5</v>
      </c>
      <c r="I25" s="120" t="inlineStr">
        <is>
          <t>Lower</t>
        </is>
      </c>
      <c r="J25" s="121" t="n"/>
      <c r="K25" s="121" t="inlineStr">
        <is>
          <t>Mid-career / next-generation: room to lead and build a practice</t>
        </is>
      </c>
    </row>
    <row r="26">
      <c r="A26" s="120" t="inlineStr">
        <is>
          <t>A</t>
        </is>
      </c>
      <c r="B26" s="120" t="n">
        <v>3</v>
      </c>
      <c r="C26" s="121" t="inlineStr">
        <is>
          <t>Magdalena Berg</t>
        </is>
      </c>
      <c r="D26" s="121" t="inlineStr">
        <is>
          <t>Magnusson</t>
        </is>
      </c>
      <c r="E26" s="121" t="inlineStr">
        <is>
          <t>Dispute resolution</t>
        </is>
      </c>
      <c r="F26" s="121" t="inlineStr">
        <is>
          <t>Dispute resolution: CH: Band 5</t>
        </is>
      </c>
      <c r="G26" s="121" t="n"/>
      <c r="H26" s="120" t="n">
        <v>1</v>
      </c>
      <c r="I26" s="120" t="inlineStr">
        <is>
          <t>Lower</t>
        </is>
      </c>
      <c r="J26" s="121" t="inlineStr">
        <is>
          <t>Merged with Gro (Oct-2026)</t>
        </is>
      </c>
      <c r="K26" s="121" t="inlineStr">
        <is>
          <t>Mid-career / next-generation: room to lead and build a practice</t>
        </is>
      </c>
    </row>
    <row r="27">
      <c r="A27" s="120" t="inlineStr">
        <is>
          <t>A</t>
        </is>
      </c>
      <c r="B27" s="120" t="n">
        <v>3</v>
      </c>
      <c r="C27" s="121" t="inlineStr">
        <is>
          <t>Christoffer Nystedt</t>
        </is>
      </c>
      <c r="D27" s="121" t="inlineStr">
        <is>
          <t>Morris Law</t>
        </is>
      </c>
      <c r="E27" s="121" t="inlineStr">
        <is>
          <t>Dispute resolution</t>
        </is>
      </c>
      <c r="F27" s="121" t="inlineStr">
        <is>
          <t>Dispute resolution: L500: Next Generation Partners</t>
        </is>
      </c>
      <c r="G27" s="121" t="n"/>
      <c r="H27" s="120" t="n"/>
      <c r="I27" s="120" t="inlineStr">
        <is>
          <t>Lower</t>
        </is>
      </c>
      <c r="J27" s="121" t="inlineStr">
        <is>
          <t>AGRD (PE-owned) member: lawyers left the Bar; partners wishing to remain advokater may move</t>
        </is>
      </c>
      <c r="K27" s="121" t="inlineStr">
        <is>
          <t>AGRD (PE-owned) member: lawyers left the Bar; partners wishing to remain advokater may move; Mid-career / next-generation: room to lead and build a practice</t>
        </is>
      </c>
    </row>
    <row r="28">
      <c r="A28" s="120" t="inlineStr">
        <is>
          <t>A</t>
        </is>
      </c>
      <c r="B28" s="120" t="n">
        <v>3</v>
      </c>
      <c r="C28" s="121" t="inlineStr">
        <is>
          <t>Charlotta Falkman</t>
        </is>
      </c>
      <c r="D28" s="121" t="inlineStr">
        <is>
          <t>Nybron Advokater</t>
        </is>
      </c>
      <c r="E28" s="121" t="inlineStr">
        <is>
          <t>Dispute resolution</t>
        </is>
      </c>
      <c r="F28" s="121" t="inlineStr">
        <is>
          <t>Dispute resolution: CH: Band 4</t>
        </is>
      </c>
      <c r="G28" s="121" t="n"/>
      <c r="H28" s="120" t="n">
        <v>0</v>
      </c>
      <c r="I28" s="120" t="inlineStr">
        <is>
          <t>Lower</t>
        </is>
      </c>
      <c r="J28" s="121" t="n"/>
      <c r="K28" s="121" t="inlineStr">
        <is>
          <t>Mid-career / next-generation: room to lead and build a practice</t>
        </is>
      </c>
    </row>
    <row r="29">
      <c r="A29" s="120" t="inlineStr">
        <is>
          <t>A</t>
        </is>
      </c>
      <c r="B29" s="120" t="n">
        <v>3</v>
      </c>
      <c r="C29" s="121" t="inlineStr">
        <is>
          <t>Marcus Johansson</t>
        </is>
      </c>
      <c r="D29" s="121" t="inlineStr">
        <is>
          <t>Nybron Advokater</t>
        </is>
      </c>
      <c r="E29" s="121" t="inlineStr">
        <is>
          <t>Dispute resolution</t>
        </is>
      </c>
      <c r="F29" s="121" t="inlineStr">
        <is>
          <t>Dispute resolution: CH: Band 4</t>
        </is>
      </c>
      <c r="G29" s="121" t="n"/>
      <c r="H29" s="120" t="n">
        <v>0</v>
      </c>
      <c r="I29" s="120" t="inlineStr">
        <is>
          <t>Lower</t>
        </is>
      </c>
      <c r="J29" s="121" t="n"/>
      <c r="K29" s="121" t="inlineStr">
        <is>
          <t>Mid-career / next-generation: room to lead and build a practice</t>
        </is>
      </c>
    </row>
    <row r="30">
      <c r="A30" s="120" t="inlineStr">
        <is>
          <t>A</t>
        </is>
      </c>
      <c r="B30" s="120" t="n">
        <v>3</v>
      </c>
      <c r="C30" s="121" t="inlineStr">
        <is>
          <t>Karl Guterstam</t>
        </is>
      </c>
      <c r="D30" s="121" t="inlineStr">
        <is>
          <t>Sandart &amp; Partners</t>
        </is>
      </c>
      <c r="E30" s="121" t="inlineStr">
        <is>
          <t>Dispute resolution</t>
        </is>
      </c>
      <c r="F30" s="121" t="inlineStr">
        <is>
          <t>Dispute resolution: CH: Up and Coming</t>
        </is>
      </c>
      <c r="G30" s="121" t="n"/>
      <c r="H30" s="120" t="n">
        <v>2</v>
      </c>
      <c r="I30" s="120" t="inlineStr">
        <is>
          <t>Lower</t>
        </is>
      </c>
      <c r="J30" s="121" t="n"/>
      <c r="K30" s="121" t="inlineStr">
        <is>
          <t>Mid-career / next-generation: room to lead and build a practice</t>
        </is>
      </c>
    </row>
    <row r="31">
      <c r="A31" s="120" t="inlineStr">
        <is>
          <t>A</t>
        </is>
      </c>
      <c r="B31" s="120" t="n">
        <v>3</v>
      </c>
      <c r="C31" s="121" t="inlineStr">
        <is>
          <t>Pontus Bergsten</t>
        </is>
      </c>
      <c r="D31" s="121" t="inlineStr">
        <is>
          <t>Schjødt</t>
        </is>
      </c>
      <c r="E31" s="121" t="inlineStr">
        <is>
          <t>Corporate / M&amp;A</t>
        </is>
      </c>
      <c r="F31" s="121" t="inlineStr">
        <is>
          <t>Corporate / M&amp;A: CH: Band 4</t>
        </is>
      </c>
      <c r="G31" s="121" t="inlineStr">
        <is>
          <t>Department head</t>
        </is>
      </c>
      <c r="H31" s="120" t="n">
        <v>12</v>
      </c>
      <c r="I31" s="120" t="inlineStr">
        <is>
          <t>Medium</t>
        </is>
      </c>
      <c r="J31" s="121" t="inlineStr">
        <is>
          <t>Lost 8 Stockholm partners to BAHR (2025-26)</t>
        </is>
      </c>
      <c r="K31" s="121" t="inlineStr">
        <is>
          <t>Firm under pressure: Lost 8 Stockholm partners to BAHR (2025-26); Mid-career / next-generation: room to lead and build a practice</t>
        </is>
      </c>
    </row>
    <row r="32">
      <c r="A32" s="120" t="inlineStr">
        <is>
          <t>A</t>
        </is>
      </c>
      <c r="B32" s="120" t="n">
        <v>3</v>
      </c>
      <c r="C32" s="121" t="inlineStr">
        <is>
          <t>Anders Holmgren</t>
        </is>
      </c>
      <c r="D32" s="121" t="inlineStr">
        <is>
          <t>Setterwalls</t>
        </is>
      </c>
      <c r="E32" s="121" t="inlineStr">
        <is>
          <t>Corporate / M&amp;A</t>
        </is>
      </c>
      <c r="F32" s="121" t="inlineStr">
        <is>
          <t>Corporate / M&amp;A: CH: Band 5</t>
        </is>
      </c>
      <c r="G32" s="121" t="n"/>
      <c r="H32" s="120" t="n">
        <v>1</v>
      </c>
      <c r="I32" s="120" t="inlineStr">
        <is>
          <t>High</t>
        </is>
      </c>
      <c r="J32" s="121" t="inlineStr">
        <is>
          <t>Malmö office (12 partners) left for AGRD, Sep-2026</t>
        </is>
      </c>
      <c r="K32" s="121" t="inlineStr">
        <is>
          <t>Firm under pressure: Malmö office (12 partners) left for AGRD, Sep-2026; Mid-career / next-generation: room to lead and build a practice; Likely pay cut vs current profit share: needs equity / upside story</t>
        </is>
      </c>
    </row>
    <row r="33">
      <c r="A33" s="120" t="inlineStr">
        <is>
          <t>A</t>
        </is>
      </c>
      <c r="B33" s="120" t="n">
        <v>3</v>
      </c>
      <c r="C33" s="121" t="inlineStr">
        <is>
          <t>Linnea Gävbo</t>
        </is>
      </c>
      <c r="D33" s="121" t="inlineStr">
        <is>
          <t>Setterwalls</t>
        </is>
      </c>
      <c r="E33" s="121" t="inlineStr">
        <is>
          <t>Private equity</t>
        </is>
      </c>
      <c r="F33" s="121" t="inlineStr">
        <is>
          <t>Private equity: CH: Up and Coming</t>
        </is>
      </c>
      <c r="G33" s="121" t="n"/>
      <c r="H33" s="120" t="n">
        <v>1</v>
      </c>
      <c r="I33" s="120" t="inlineStr">
        <is>
          <t>High</t>
        </is>
      </c>
      <c r="J33" s="121" t="inlineStr">
        <is>
          <t>Malmö office (12 partners) left for AGRD, Sep-2026</t>
        </is>
      </c>
      <c r="K33" s="121" t="inlineStr">
        <is>
          <t>Firm under pressure: Malmö office (12 partners) left for AGRD, Sep-2026; Mid-career / next-generation: room to lead and build a practice; Likely pay cut vs current profit share: needs equity / upside story</t>
        </is>
      </c>
    </row>
    <row r="34">
      <c r="A34" s="120" t="inlineStr">
        <is>
          <t>A</t>
        </is>
      </c>
      <c r="B34" s="120" t="n">
        <v>3</v>
      </c>
      <c r="C34" s="121" t="inlineStr">
        <is>
          <t>Carolina Wahlby</t>
        </is>
      </c>
      <c r="D34" s="121" t="inlineStr">
        <is>
          <t>Snellman</t>
        </is>
      </c>
      <c r="E34" s="121" t="inlineStr">
        <is>
          <t>Banking &amp; finance</t>
        </is>
      </c>
      <c r="F34" s="121" t="inlineStr">
        <is>
          <t>Banking &amp; finance: L500: Next Generation Partners</t>
        </is>
      </c>
      <c r="G34" s="121" t="inlineStr">
        <is>
          <t>Partner</t>
        </is>
      </c>
      <c r="H34" s="120" t="n"/>
      <c r="I34" s="120" t="inlineStr">
        <is>
          <t>Medium</t>
        </is>
      </c>
      <c r="J34" s="121" t="inlineStr">
        <is>
          <t>Separated from Hannes Snellman (2024); ~5 partner exits since 2024 incl. heads of competition and disputes</t>
        </is>
      </c>
      <c r="K34" s="121" t="inlineStr">
        <is>
          <t>Firm under pressure: Separated from Hannes Snellman (2024); ~5 partner exits since 2024 incl. heads of competition and disputes; Mid-career / next-generation: room to lead and build a practice</t>
        </is>
      </c>
    </row>
    <row r="35">
      <c r="A35" s="120" t="inlineStr">
        <is>
          <t>A</t>
        </is>
      </c>
      <c r="B35" s="120" t="n">
        <v>3</v>
      </c>
      <c r="C35" s="121" t="inlineStr">
        <is>
          <t>Mikael Klang</t>
        </is>
      </c>
      <c r="D35" s="121" t="inlineStr">
        <is>
          <t>Snellman</t>
        </is>
      </c>
      <c r="E35" s="121" t="inlineStr">
        <is>
          <t>Private equity</t>
        </is>
      </c>
      <c r="F35" s="121" t="inlineStr">
        <is>
          <t>Private equity: CH: Band 3</t>
        </is>
      </c>
      <c r="G35" s="121" t="n"/>
      <c r="H35" s="120" t="n">
        <v>14</v>
      </c>
      <c r="I35" s="120" t="inlineStr">
        <is>
          <t>Medium</t>
        </is>
      </c>
      <c r="J35" s="121" t="inlineStr">
        <is>
          <t>Separated from Hannes Snellman (2024); ~5 partner exits since 2024 incl. heads of competition and disputes</t>
        </is>
      </c>
      <c r="K35" s="121" t="inlineStr">
        <is>
          <t>Firm under pressure: Separated from Hannes Snellman (2024); ~5 partner exits since 2024 incl. heads of competition and disputes; Mid-career / next-generation: room to lead and build a practice</t>
        </is>
      </c>
    </row>
    <row r="36">
      <c r="A36" s="120" t="inlineStr">
        <is>
          <t>A</t>
        </is>
      </c>
      <c r="B36" s="120" t="n">
        <v>3</v>
      </c>
      <c r="C36" s="121" t="inlineStr">
        <is>
          <t>Andreas Eriksson</t>
        </is>
      </c>
      <c r="D36" s="121" t="inlineStr">
        <is>
          <t>TIME DANOWSKY Advokatbyrå AB</t>
        </is>
      </c>
      <c r="E36" s="121" t="inlineStr">
        <is>
          <t>Dispute resolution</t>
        </is>
      </c>
      <c r="F36" s="121" t="inlineStr">
        <is>
          <t>Dispute resolution: CH: Band 4</t>
        </is>
      </c>
      <c r="G36" s="121" t="n"/>
      <c r="H36" s="120" t="n">
        <v>0</v>
      </c>
      <c r="I36" s="120" t="inlineStr">
        <is>
          <t>Lower</t>
        </is>
      </c>
      <c r="J36" s="121" t="n"/>
      <c r="K36" s="121" t="inlineStr">
        <is>
          <t>Mid-career / next-generation: room to lead and build a practice</t>
        </is>
      </c>
    </row>
    <row r="37">
      <c r="A37" s="120" t="inlineStr">
        <is>
          <t>A</t>
        </is>
      </c>
      <c r="B37" s="120" t="n">
        <v>3</v>
      </c>
      <c r="C37" s="121" t="inlineStr">
        <is>
          <t>Cecilia Rudels</t>
        </is>
      </c>
      <c r="D37" s="121" t="inlineStr">
        <is>
          <t>TM &amp; Partners</t>
        </is>
      </c>
      <c r="E37" s="121" t="inlineStr">
        <is>
          <t>Banking &amp; finance</t>
        </is>
      </c>
      <c r="F37" s="121" t="inlineStr">
        <is>
          <t>Banking &amp; finance: CH: Band 3</t>
        </is>
      </c>
      <c r="G37" s="121" t="n"/>
      <c r="H37" s="120" t="n">
        <v>12</v>
      </c>
      <c r="I37" s="120" t="inlineStr">
        <is>
          <t>Lower</t>
        </is>
      </c>
      <c r="J37" s="121" t="inlineStr">
        <is>
          <t>AGRD (PE-owned) member: lawyers left the Bar; partners wishing to remain advokater may move</t>
        </is>
      </c>
      <c r="K37" s="121" t="inlineStr">
        <is>
          <t>AGRD (PE-owned) member: lawyers left the Bar; partners wishing to remain advokater may move; Mid-career / next-generation: room to lead and build a practice</t>
        </is>
      </c>
    </row>
    <row r="38">
      <c r="A38" s="120" t="inlineStr">
        <is>
          <t>A</t>
        </is>
      </c>
      <c r="B38" s="120" t="n">
        <v>3</v>
      </c>
      <c r="C38" s="121" t="inlineStr">
        <is>
          <t>Sten Hedbäck</t>
        </is>
      </c>
      <c r="D38" s="121" t="inlineStr">
        <is>
          <t>TM &amp; Partners</t>
        </is>
      </c>
      <c r="E38" s="121" t="inlineStr">
        <is>
          <t>Corporate / M&amp;A</t>
        </is>
      </c>
      <c r="F38" s="121" t="inlineStr">
        <is>
          <t>Corporate / M&amp;A: CH: Band 5</t>
        </is>
      </c>
      <c r="G38" s="121" t="n"/>
      <c r="H38" s="120" t="n">
        <v>9</v>
      </c>
      <c r="I38" s="120" t="inlineStr">
        <is>
          <t>Lower</t>
        </is>
      </c>
      <c r="J38" s="121" t="inlineStr">
        <is>
          <t>AGRD (PE-owned) member: lawyers left the Bar; partners wishing to remain advokater may move</t>
        </is>
      </c>
      <c r="K38" s="121" t="inlineStr">
        <is>
          <t>AGRD (PE-owned) member: lawyers left the Bar; partners wishing to remain advokater may move; Mid-career / next-generation: room to lead and build a practice</t>
        </is>
      </c>
    </row>
    <row r="39">
      <c r="A39" s="120" t="inlineStr">
        <is>
          <t>A</t>
        </is>
      </c>
      <c r="B39" s="120" t="n">
        <v>3</v>
      </c>
      <c r="C39" s="121" t="inlineStr">
        <is>
          <t>Henrik Wenckert</t>
        </is>
      </c>
      <c r="D39" s="121" t="inlineStr">
        <is>
          <t>Wigge &amp; Partners</t>
        </is>
      </c>
      <c r="E39" s="121" t="inlineStr">
        <is>
          <t>Corporate / M&amp;A</t>
        </is>
      </c>
      <c r="F39" s="121" t="inlineStr">
        <is>
          <t>Corporate / M&amp;A: CH: Band 5</t>
        </is>
      </c>
      <c r="G39" s="121" t="n"/>
      <c r="H39" s="120" t="n">
        <v>10</v>
      </c>
      <c r="I39" s="120" t="inlineStr">
        <is>
          <t>Lower</t>
        </is>
      </c>
      <c r="J39" s="121" t="inlineStr">
        <is>
          <t>AGRD (PE-owned) member: lawyers left the Bar; partners wishing to remain advokater may move</t>
        </is>
      </c>
      <c r="K39" s="121" t="inlineStr">
        <is>
          <t>AGRD (PE-owned) member: lawyers left the Bar; partners wishing to remain advokater may move; Mid-career / next-generation: room to lead and build a practice</t>
        </is>
      </c>
    </row>
    <row r="40">
      <c r="A40" s="94" t="inlineStr">
        <is>
          <t>B</t>
        </is>
      </c>
      <c r="B40" s="94" t="n">
        <v>2</v>
      </c>
      <c r="C40" s="69" t="inlineStr">
        <is>
          <t>Anders Fast</t>
        </is>
      </c>
      <c r="D40" s="69" t="inlineStr">
        <is>
          <t>Baker McKenzie</t>
        </is>
      </c>
      <c r="E40" s="69" t="inlineStr">
        <is>
          <t>Corporate / M&amp;A</t>
        </is>
      </c>
      <c r="F40" s="69" t="inlineStr">
        <is>
          <t>Corporate / M&amp;A: CH: Band 5</t>
        </is>
      </c>
      <c r="G40" s="69" t="n"/>
      <c r="H40" s="94" t="n">
        <v>20</v>
      </c>
      <c r="I40" s="94" t="inlineStr">
        <is>
          <t>Medium</t>
        </is>
      </c>
      <c r="J40" s="69" t="inlineStr">
        <is>
          <t>2 partner exits 2025-26; moving away from billable hour</t>
        </is>
      </c>
      <c r="K40" s="69" t="inlineStr">
        <is>
          <t>Firm under pressure: 2 partner exits 2025-26; moving away from billable hour; Mid-career / next-generation: room to lead and build a practice</t>
        </is>
      </c>
    </row>
    <row r="41">
      <c r="A41" s="94" t="inlineStr">
        <is>
          <t>B</t>
        </is>
      </c>
      <c r="B41" s="94" t="n">
        <v>2</v>
      </c>
      <c r="C41" s="69" t="inlineStr">
        <is>
          <t>Carl M Svernlöv</t>
        </is>
      </c>
      <c r="D41" s="69" t="inlineStr">
        <is>
          <t>Baker McKenzie</t>
        </is>
      </c>
      <c r="E41" s="69" t="inlineStr">
        <is>
          <t>Corporate / M&amp;A</t>
        </is>
      </c>
      <c r="F41" s="69" t="inlineStr">
        <is>
          <t>Corporate / M&amp;A: CH: Band 3</t>
        </is>
      </c>
      <c r="G41" s="69" t="inlineStr">
        <is>
          <t>Department head</t>
        </is>
      </c>
      <c r="H41" s="94" t="n">
        <v>18</v>
      </c>
      <c r="I41" s="94" t="inlineStr">
        <is>
          <t>Medium</t>
        </is>
      </c>
      <c r="J41" s="69" t="inlineStr">
        <is>
          <t>2 partner exits 2025-26; moving away from billable hour</t>
        </is>
      </c>
      <c r="K41" s="69" t="inlineStr">
        <is>
          <t>Firm under pressure: 2 partner exits 2025-26; moving away from billable hour; Mid-career / next-generation: room to lead and build a practice</t>
        </is>
      </c>
    </row>
    <row r="42">
      <c r="A42" s="94" t="inlineStr">
        <is>
          <t>B</t>
        </is>
      </c>
      <c r="B42" s="94" t="n">
        <v>2</v>
      </c>
      <c r="C42" s="69" t="inlineStr">
        <is>
          <t>Mats Rooth</t>
        </is>
      </c>
      <c r="D42" s="69" t="inlineStr">
        <is>
          <t>Baker McKenzie</t>
        </is>
      </c>
      <c r="E42" s="69" t="inlineStr">
        <is>
          <t>Banking &amp; finance</t>
        </is>
      </c>
      <c r="F42" s="69" t="inlineStr">
        <is>
          <t>Banking &amp; finance: CH: Band 3</t>
        </is>
      </c>
      <c r="G42" s="69" t="n"/>
      <c r="H42" s="94" t="n">
        <v>18</v>
      </c>
      <c r="I42" s="94" t="inlineStr">
        <is>
          <t>Medium</t>
        </is>
      </c>
      <c r="J42" s="69" t="inlineStr">
        <is>
          <t>2 partner exits 2025-26; moving away from billable hour</t>
        </is>
      </c>
      <c r="K42" s="69" t="inlineStr">
        <is>
          <t>Firm under pressure: 2 partner exits 2025-26; moving away from billable hour; Mid-career / next-generation: room to lead and build a practice</t>
        </is>
      </c>
    </row>
    <row r="43">
      <c r="A43" s="94" t="inlineStr">
        <is>
          <t>B</t>
        </is>
      </c>
      <c r="B43" s="94" t="n">
        <v>2</v>
      </c>
      <c r="C43" s="69" t="inlineStr">
        <is>
          <t>Carl-Johan Deuschl</t>
        </is>
      </c>
      <c r="D43" s="69" t="inlineStr">
        <is>
          <t>Cederquist</t>
        </is>
      </c>
      <c r="E43" s="69" t="inlineStr">
        <is>
          <t>Corporate / M&amp;A</t>
        </is>
      </c>
      <c r="F43" s="69" t="inlineStr">
        <is>
          <t>Corporate / M&amp;A: L500: Leading partners</t>
        </is>
      </c>
      <c r="G43" s="69" t="inlineStr">
        <is>
          <t>Partner. M&amp;A</t>
        </is>
      </c>
      <c r="H43" s="94" t="n"/>
      <c r="I43" s="94" t="inlineStr">
        <is>
          <t>Medium</t>
        </is>
      </c>
      <c r="J43" s="69" t="inlineStr">
        <is>
          <t>3 partner exits 2023-25 incl. ex-MP (RE:FI STHLM spin-out)</t>
        </is>
      </c>
      <c r="K43" s="69" t="inlineStr">
        <is>
          <t>Firm under pressure: 3 partner exits 2023-25 incl. ex-MP (RE:FI STHLM spin-out)</t>
        </is>
      </c>
    </row>
    <row r="44">
      <c r="A44" s="94" t="inlineStr">
        <is>
          <t>B</t>
        </is>
      </c>
      <c r="B44" s="94" t="n">
        <v>2</v>
      </c>
      <c r="C44" s="69" t="inlineStr">
        <is>
          <t>Elsa Arbrandt</t>
        </is>
      </c>
      <c r="D44" s="69" t="inlineStr">
        <is>
          <t>Cederquist</t>
        </is>
      </c>
      <c r="E44" s="69" t="inlineStr">
        <is>
          <t>Dispute resolution</t>
        </is>
      </c>
      <c r="F44" s="69" t="inlineStr">
        <is>
          <t>Dispute resolution: L500: Leading partners</t>
        </is>
      </c>
      <c r="G44" s="69" t="n"/>
      <c r="H44" s="94" t="n"/>
      <c r="I44" s="94" t="inlineStr">
        <is>
          <t>Medium</t>
        </is>
      </c>
      <c r="J44" s="69" t="inlineStr">
        <is>
          <t>3 partner exits 2023-25 incl. ex-MP (RE:FI STHLM spin-out)</t>
        </is>
      </c>
      <c r="K44" s="69" t="inlineStr">
        <is>
          <t>Firm under pressure: 3 partner exits 2023-25 incl. ex-MP (RE:FI STHLM spin-out)</t>
        </is>
      </c>
    </row>
    <row r="45">
      <c r="A45" s="94" t="inlineStr">
        <is>
          <t>B</t>
        </is>
      </c>
      <c r="B45" s="94" t="n">
        <v>2</v>
      </c>
      <c r="C45" s="69" t="inlineStr">
        <is>
          <t>Per Henriksson</t>
        </is>
      </c>
      <c r="D45" s="69" t="inlineStr">
        <is>
          <t>Cederquist</t>
        </is>
      </c>
      <c r="E45" s="69" t="inlineStr">
        <is>
          <t>Banking &amp; finance</t>
        </is>
      </c>
      <c r="F45" s="69" t="inlineStr">
        <is>
          <t>Banking &amp; finance: CH: Band 1</t>
        </is>
      </c>
      <c r="G45" s="69" t="n"/>
      <c r="H45" s="94" t="n">
        <v>5</v>
      </c>
      <c r="I45" s="94" t="inlineStr">
        <is>
          <t>Medium</t>
        </is>
      </c>
      <c r="J45" s="69" t="inlineStr">
        <is>
          <t>3 partner exits 2023-25 incl. ex-MP (RE:FI STHLM spin-out)</t>
        </is>
      </c>
      <c r="K45" s="69" t="inlineStr">
        <is>
          <t>Firm under pressure: 3 partner exits 2023-25 incl. ex-MP (RE:FI STHLM spin-out); Senior market leader: hard to move; possible senior adviser / team anchor</t>
        </is>
      </c>
    </row>
    <row r="46">
      <c r="A46" s="94" t="inlineStr">
        <is>
          <t>B</t>
        </is>
      </c>
      <c r="B46" s="94" t="n">
        <v>2</v>
      </c>
      <c r="C46" s="69" t="inlineStr">
        <is>
          <t>Anders Moberg</t>
        </is>
      </c>
      <c r="D46" s="69" t="inlineStr">
        <is>
          <t>Cirio</t>
        </is>
      </c>
      <c r="E46" s="69" t="inlineStr">
        <is>
          <t>Corporate / M&amp;A</t>
        </is>
      </c>
      <c r="F46" s="69" t="inlineStr">
        <is>
          <t>Corporate / M&amp;A: CH: Band 5</t>
        </is>
      </c>
      <c r="G46" s="69" t="n"/>
      <c r="H46" s="94" t="n">
        <v>1</v>
      </c>
      <c r="I46" s="94" t="inlineStr">
        <is>
          <t>Medium</t>
        </is>
      </c>
      <c r="J46" s="69" t="inlineStr">
        <is>
          <t>Growing (+15% 2025); net partner gainer</t>
        </is>
      </c>
      <c r="K46" s="69" t="inlineStr">
        <is>
          <t>Mid-career / next-generation: room to lead and build a practice</t>
        </is>
      </c>
    </row>
    <row r="47">
      <c r="A47" s="94" t="inlineStr">
        <is>
          <t>B</t>
        </is>
      </c>
      <c r="B47" s="94" t="n">
        <v>2</v>
      </c>
      <c r="C47" s="69" t="inlineStr">
        <is>
          <t>Daniel Lander</t>
        </is>
      </c>
      <c r="D47" s="69" t="inlineStr">
        <is>
          <t>Cirio</t>
        </is>
      </c>
      <c r="E47" s="69" t="inlineStr">
        <is>
          <t>Dispute resolution</t>
        </is>
      </c>
      <c r="F47" s="69" t="inlineStr">
        <is>
          <t>Dispute resolution: CH: Band 5</t>
        </is>
      </c>
      <c r="G47" s="69" t="n"/>
      <c r="H47" s="94" t="n">
        <v>1</v>
      </c>
      <c r="I47" s="94" t="inlineStr">
        <is>
          <t>Medium</t>
        </is>
      </c>
      <c r="J47" s="69" t="inlineStr">
        <is>
          <t>Growing (+15% 2025); net partner gainer</t>
        </is>
      </c>
      <c r="K47" s="69" t="inlineStr">
        <is>
          <t>Mid-career / next-generation: room to lead and build a practice</t>
        </is>
      </c>
    </row>
    <row r="48">
      <c r="A48" s="94" t="inlineStr">
        <is>
          <t>B</t>
        </is>
      </c>
      <c r="B48" s="94" t="n">
        <v>2</v>
      </c>
      <c r="C48" s="69" t="inlineStr">
        <is>
          <t>David Johansson</t>
        </is>
      </c>
      <c r="D48" s="69" t="inlineStr">
        <is>
          <t>DLA Piper</t>
        </is>
      </c>
      <c r="E48" s="69" t="inlineStr">
        <is>
          <t>Dispute resolution</t>
        </is>
      </c>
      <c r="F48" s="69" t="inlineStr">
        <is>
          <t>Dispute resolution: L500: Next Generation Partners, CH: Band 5</t>
        </is>
      </c>
      <c r="G48" s="69" t="n"/>
      <c r="H48" s="94" t="n">
        <v>4</v>
      </c>
      <c r="I48" s="94" t="inlineStr">
        <is>
          <t>Medium</t>
        </is>
      </c>
      <c r="J48" s="69" t="inlineStr">
        <is>
          <t>Revenue -9% FY24/25; net partner gainer</t>
        </is>
      </c>
      <c r="K48" s="69" t="inlineStr">
        <is>
          <t>Mid-career / next-generation: room to lead and build a practice</t>
        </is>
      </c>
    </row>
    <row r="49">
      <c r="A49" s="94" t="inlineStr">
        <is>
          <t>B</t>
        </is>
      </c>
      <c r="B49" s="94" t="n">
        <v>2</v>
      </c>
      <c r="C49" s="69" t="inlineStr">
        <is>
          <t>Karl-Oscar Dalin</t>
        </is>
      </c>
      <c r="D49" s="69" t="inlineStr">
        <is>
          <t>DLA Piper</t>
        </is>
      </c>
      <c r="E49" s="69" t="inlineStr">
        <is>
          <t>Dispute resolution</t>
        </is>
      </c>
      <c r="F49" s="69" t="inlineStr">
        <is>
          <t>Dispute resolution: CH: Band 4</t>
        </is>
      </c>
      <c r="G49" s="69" t="n"/>
      <c r="H49" s="94" t="n">
        <v>2</v>
      </c>
      <c r="I49" s="94" t="inlineStr">
        <is>
          <t>Medium</t>
        </is>
      </c>
      <c r="J49" s="69" t="inlineStr">
        <is>
          <t>Revenue -9% FY24/25; net partner gainer</t>
        </is>
      </c>
      <c r="K49" s="69" t="inlineStr">
        <is>
          <t>Mid-career / next-generation: room to lead and build a practice</t>
        </is>
      </c>
    </row>
    <row r="50">
      <c r="A50" s="94" t="inlineStr">
        <is>
          <t>B</t>
        </is>
      </c>
      <c r="B50" s="94" t="n">
        <v>2</v>
      </c>
      <c r="C50" s="69" t="inlineStr">
        <is>
          <t>Mikael Moreira</t>
        </is>
      </c>
      <c r="D50" s="69" t="inlineStr">
        <is>
          <t>DLA Piper</t>
        </is>
      </c>
      <c r="E50" s="69" t="inlineStr">
        <is>
          <t>Private equity</t>
        </is>
      </c>
      <c r="F50" s="69" t="inlineStr">
        <is>
          <t>Private equity: CH: Band 3</t>
        </is>
      </c>
      <c r="G50" s="69" t="n"/>
      <c r="H50" s="94" t="n">
        <v>3</v>
      </c>
      <c r="I50" s="94" t="inlineStr">
        <is>
          <t>Medium</t>
        </is>
      </c>
      <c r="J50" s="69" t="inlineStr">
        <is>
          <t>Revenue -9% FY24/25; net partner gainer</t>
        </is>
      </c>
      <c r="K50" s="69" t="inlineStr">
        <is>
          <t>Mid-career / next-generation: room to lead and build a practice</t>
        </is>
      </c>
    </row>
    <row r="51">
      <c r="A51" s="94" t="inlineStr">
        <is>
          <t>B</t>
        </is>
      </c>
      <c r="B51" s="94" t="n">
        <v>2</v>
      </c>
      <c r="C51" s="69" t="inlineStr">
        <is>
          <t>Petter Kjöllerström</t>
        </is>
      </c>
      <c r="D51" s="69" t="inlineStr">
        <is>
          <t>DLA Piper</t>
        </is>
      </c>
      <c r="E51" s="69" t="inlineStr">
        <is>
          <t>Corporate / M&amp;A</t>
        </is>
      </c>
      <c r="F51" s="69" t="inlineStr">
        <is>
          <t>Corporate / M&amp;A: CH: Band 5</t>
        </is>
      </c>
      <c r="G51" s="69" t="n"/>
      <c r="H51" s="94" t="n">
        <v>1</v>
      </c>
      <c r="I51" s="94" t="inlineStr">
        <is>
          <t>Medium</t>
        </is>
      </c>
      <c r="J51" s="69" t="inlineStr">
        <is>
          <t>Revenue -9% FY24/25; net partner gainer</t>
        </is>
      </c>
      <c r="K51" s="69" t="inlineStr">
        <is>
          <t>Mid-career / next-generation: room to lead and build a practice</t>
        </is>
      </c>
    </row>
    <row r="52">
      <c r="A52" s="94" t="inlineStr">
        <is>
          <t>B</t>
        </is>
      </c>
      <c r="B52" s="94" t="n">
        <v>2</v>
      </c>
      <c r="C52" s="69" t="inlineStr">
        <is>
          <t>Erik Fahlgren</t>
        </is>
      </c>
      <c r="D52" s="69" t="inlineStr">
        <is>
          <t>Hammarskiöld</t>
        </is>
      </c>
      <c r="E52" s="69" t="inlineStr">
        <is>
          <t>Corporate / M&amp;A</t>
        </is>
      </c>
      <c r="F52" s="69" t="inlineStr">
        <is>
          <t>Corporate / M&amp;A: CH: Band 5</t>
        </is>
      </c>
      <c r="G52" s="69" t="n"/>
      <c r="H52" s="94" t="n">
        <v>5</v>
      </c>
      <c r="I52" s="94" t="inlineStr">
        <is>
          <t>Medium</t>
        </is>
      </c>
      <c r="J52" s="69" t="n"/>
      <c r="K52" s="69" t="inlineStr">
        <is>
          <t>Mid-career / next-generation: room to lead and build a practice</t>
        </is>
      </c>
    </row>
    <row r="53">
      <c r="A53" s="94" t="inlineStr">
        <is>
          <t>B</t>
        </is>
      </c>
      <c r="B53" s="94" t="n">
        <v>2</v>
      </c>
      <c r="C53" s="69" t="inlineStr">
        <is>
          <t>Erik Löfwall</t>
        </is>
      </c>
      <c r="D53" s="69" t="inlineStr">
        <is>
          <t>Hammarskiöld</t>
        </is>
      </c>
      <c r="E53" s="69" t="inlineStr">
        <is>
          <t>Corporate / M&amp;A</t>
        </is>
      </c>
      <c r="F53" s="69" t="inlineStr">
        <is>
          <t>Corporate / M&amp;A: CH: Band 5</t>
        </is>
      </c>
      <c r="G53" s="69" t="n"/>
      <c r="H53" s="94" t="n">
        <v>5</v>
      </c>
      <c r="I53" s="94" t="inlineStr">
        <is>
          <t>Medium</t>
        </is>
      </c>
      <c r="J53" s="69" t="n"/>
      <c r="K53" s="69" t="inlineStr">
        <is>
          <t>Mid-career / next-generation: room to lead and build a practice</t>
        </is>
      </c>
    </row>
    <row r="54">
      <c r="A54" s="94" t="inlineStr">
        <is>
          <t>B</t>
        </is>
      </c>
      <c r="B54" s="94" t="n">
        <v>2</v>
      </c>
      <c r="C54" s="69" t="inlineStr">
        <is>
          <t>Rasmus Fahlén</t>
        </is>
      </c>
      <c r="D54" s="69" t="inlineStr">
        <is>
          <t>Hammarskiöld</t>
        </is>
      </c>
      <c r="E54" s="69" t="inlineStr">
        <is>
          <t>Banking &amp; finance</t>
        </is>
      </c>
      <c r="F54" s="69" t="inlineStr">
        <is>
          <t>Banking &amp; finance: L500: Next Generation Partners</t>
        </is>
      </c>
      <c r="G54" s="69" t="inlineStr">
        <is>
          <t>Partner</t>
        </is>
      </c>
      <c r="H54" s="94" t="n">
        <v>2</v>
      </c>
      <c r="I54" s="94" t="inlineStr">
        <is>
          <t>Medium</t>
        </is>
      </c>
      <c r="J54" s="69" t="n"/>
      <c r="K54" s="69" t="inlineStr">
        <is>
          <t>Mid-career / next-generation: room to lead and build a practice</t>
        </is>
      </c>
    </row>
    <row r="55">
      <c r="A55" s="94" t="inlineStr">
        <is>
          <t>B</t>
        </is>
      </c>
      <c r="B55" s="94" t="n">
        <v>2</v>
      </c>
      <c r="C55" s="69" t="inlineStr">
        <is>
          <t>Sandra Kaznova</t>
        </is>
      </c>
      <c r="D55" s="69" t="inlineStr">
        <is>
          <t>Hammarskiöld</t>
        </is>
      </c>
      <c r="E55" s="69" t="inlineStr">
        <is>
          <t>Dispute resolution</t>
        </is>
      </c>
      <c r="F55" s="69" t="inlineStr">
        <is>
          <t>Dispute resolution: CH: Band 3</t>
        </is>
      </c>
      <c r="G55" s="69" t="inlineStr">
        <is>
          <t>Department head</t>
        </is>
      </c>
      <c r="H55" s="94" t="n">
        <v>4</v>
      </c>
      <c r="I55" s="94" t="inlineStr">
        <is>
          <t>Medium</t>
        </is>
      </c>
      <c r="J55" s="69" t="n"/>
      <c r="K55" s="69" t="inlineStr">
        <is>
          <t>Mid-career / next-generation: room to lead and build a practice</t>
        </is>
      </c>
    </row>
    <row r="56">
      <c r="A56" s="94" t="inlineStr">
        <is>
          <t>B</t>
        </is>
      </c>
      <c r="B56" s="94" t="n">
        <v>2</v>
      </c>
      <c r="C56" s="69" t="inlineStr">
        <is>
          <t>Carl Norén</t>
        </is>
      </c>
      <c r="D56" s="69" t="inlineStr">
        <is>
          <t>Kastell</t>
        </is>
      </c>
      <c r="E56" s="69" t="inlineStr">
        <is>
          <t>Dispute resolution</t>
        </is>
      </c>
      <c r="F56" s="69" t="inlineStr">
        <is>
          <t>Dispute resolution: CH: Band 4</t>
        </is>
      </c>
      <c r="G56" s="69" t="n"/>
      <c r="H56" s="94" t="n">
        <v>13</v>
      </c>
      <c r="I56" s="94" t="inlineStr">
        <is>
          <t>Lower</t>
        </is>
      </c>
      <c r="J56" s="69" t="n"/>
      <c r="K56" s="69" t="inlineStr">
        <is>
          <t>Mid-career / next-generation: room to lead and build a practice</t>
        </is>
      </c>
    </row>
    <row r="57">
      <c r="A57" s="94" t="inlineStr">
        <is>
          <t>B</t>
        </is>
      </c>
      <c r="B57" s="94" t="n">
        <v>2</v>
      </c>
      <c r="C57" s="69" t="inlineStr">
        <is>
          <t>Rasmus Kindlund</t>
        </is>
      </c>
      <c r="D57" s="69" t="inlineStr">
        <is>
          <t>Linklaters</t>
        </is>
      </c>
      <c r="E57" s="69" t="inlineStr">
        <is>
          <t>Corporate / M&amp;A</t>
        </is>
      </c>
      <c r="F57" s="69" t="inlineStr">
        <is>
          <t>Corporate / M&amp;A: L500: Next Generation Partners</t>
        </is>
      </c>
      <c r="G57" s="69" t="n"/>
      <c r="H57" s="94" t="n"/>
      <c r="I57" s="94" t="inlineStr">
        <is>
          <t>High</t>
        </is>
      </c>
      <c r="J57" s="69" t="inlineStr">
        <is>
          <t>No new partners for 3 years; Stockholm staff down from 88 to 75</t>
        </is>
      </c>
      <c r="K57" s="69" t="inlineStr">
        <is>
          <t>Firm under pressure: No new partners for 3 years; Stockholm staff down from 88 to 75; Mid-career / next-generation: room to lead and build a practice; Likely pay cut vs current profit share: needs equity / upside story</t>
        </is>
      </c>
    </row>
    <row r="58">
      <c r="A58" s="94" t="inlineStr">
        <is>
          <t>B</t>
        </is>
      </c>
      <c r="B58" s="94" t="n">
        <v>2</v>
      </c>
      <c r="C58" s="69" t="inlineStr">
        <is>
          <t>Racine Ashjari</t>
        </is>
      </c>
      <c r="D58" s="69" t="inlineStr">
        <is>
          <t>Morris Law</t>
        </is>
      </c>
      <c r="E58" s="69" t="inlineStr">
        <is>
          <t>Corporate / M&amp;A</t>
        </is>
      </c>
      <c r="F58" s="69" t="inlineStr">
        <is>
          <t>Corporate / M&amp;A: L500: Leading partners</t>
        </is>
      </c>
      <c r="G58" s="69" t="inlineStr">
        <is>
          <t>Partner</t>
        </is>
      </c>
      <c r="H58" s="94" t="n"/>
      <c r="I58" s="94" t="inlineStr">
        <is>
          <t>Lower</t>
        </is>
      </c>
      <c r="J58" s="69" t="inlineStr">
        <is>
          <t>AGRD (PE-owned) member: lawyers left the Bar; partners wishing to remain advokater may move</t>
        </is>
      </c>
      <c r="K58" s="69" t="inlineStr">
        <is>
          <t>AGRD (PE-owned) member: lawyers left the Bar; partners wishing to remain advokater may move</t>
        </is>
      </c>
    </row>
    <row r="59">
      <c r="A59" s="94" t="inlineStr">
        <is>
          <t>B</t>
        </is>
      </c>
      <c r="B59" s="94" t="n">
        <v>2</v>
      </c>
      <c r="C59" s="69" t="inlineStr">
        <is>
          <t>Fredrik Norburg</t>
        </is>
      </c>
      <c r="D59" s="69" t="inlineStr">
        <is>
          <t>Norburg &amp; Scherp</t>
        </is>
      </c>
      <c r="E59" s="69" t="inlineStr">
        <is>
          <t>Dispute resolution</t>
        </is>
      </c>
      <c r="F59" s="69" t="inlineStr">
        <is>
          <t>Dispute resolution: CH: Band 3</t>
        </is>
      </c>
      <c r="G59" s="69" t="n"/>
      <c r="H59" s="94" t="n">
        <v>12</v>
      </c>
      <c r="I59" s="94" t="inlineStr">
        <is>
          <t>Lower</t>
        </is>
      </c>
      <c r="J59" s="69" t="n"/>
      <c r="K59" s="69" t="inlineStr">
        <is>
          <t>Mid-career / next-generation: room to lead and build a practice</t>
        </is>
      </c>
    </row>
    <row r="60">
      <c r="A60" s="94" t="inlineStr">
        <is>
          <t>B</t>
        </is>
      </c>
      <c r="B60" s="94" t="n">
        <v>2</v>
      </c>
      <c r="C60" s="69" t="inlineStr">
        <is>
          <t>Pontus Scherp</t>
        </is>
      </c>
      <c r="D60" s="69" t="inlineStr">
        <is>
          <t>Norburg &amp; Scherp</t>
        </is>
      </c>
      <c r="E60" s="69" t="inlineStr">
        <is>
          <t>Dispute resolution</t>
        </is>
      </c>
      <c r="F60" s="69" t="inlineStr">
        <is>
          <t>Dispute resolution: CH: Band 3</t>
        </is>
      </c>
      <c r="G60" s="69" t="n"/>
      <c r="H60" s="94" t="n">
        <v>10</v>
      </c>
      <c r="I60" s="94" t="inlineStr">
        <is>
          <t>Lower</t>
        </is>
      </c>
      <c r="J60" s="69" t="n"/>
      <c r="K60" s="69" t="inlineStr">
        <is>
          <t>Mid-career / next-generation: room to lead and build a practice</t>
        </is>
      </c>
    </row>
    <row r="61">
      <c r="A61" s="94" t="inlineStr">
        <is>
          <t>B</t>
        </is>
      </c>
      <c r="B61" s="94" t="n">
        <v>2</v>
      </c>
      <c r="C61" s="69" t="inlineStr">
        <is>
          <t>Carl Brodén</t>
        </is>
      </c>
      <c r="D61" s="69" t="inlineStr">
        <is>
          <t>Roschier</t>
        </is>
      </c>
      <c r="E61" s="69" t="inlineStr">
        <is>
          <t>Banking &amp; finance</t>
        </is>
      </c>
      <c r="F61" s="69" t="inlineStr">
        <is>
          <t>Banking &amp; finance: L500: Next Generation Partners</t>
        </is>
      </c>
      <c r="G61" s="69" t="n"/>
      <c r="H61" s="94" t="n">
        <v>6</v>
      </c>
      <c r="I61" s="94" t="inlineStr">
        <is>
          <t>High</t>
        </is>
      </c>
      <c r="J61" s="69" t="inlineStr">
        <is>
          <t>3 partner exits 2020-26</t>
        </is>
      </c>
      <c r="K61" s="69" t="inlineStr">
        <is>
          <t>3 partner exits 2020-26; Mid-career / next-generation: room to lead and build a practice; Likely pay cut vs current profit share: needs equity / upside story</t>
        </is>
      </c>
    </row>
    <row r="62">
      <c r="A62" s="94" t="inlineStr">
        <is>
          <t>B</t>
        </is>
      </c>
      <c r="B62" s="94" t="n">
        <v>2</v>
      </c>
      <c r="C62" s="69" t="inlineStr">
        <is>
          <t>Carl Persson</t>
        </is>
      </c>
      <c r="D62" s="69" t="inlineStr">
        <is>
          <t>Roschier</t>
        </is>
      </c>
      <c r="E62" s="69" t="inlineStr">
        <is>
          <t>Dispute resolution</t>
        </is>
      </c>
      <c r="F62" s="69" t="inlineStr">
        <is>
          <t>Dispute resolution: L500: Next Generation Partners, CH: Band 4</t>
        </is>
      </c>
      <c r="G62" s="69" t="n"/>
      <c r="H62" s="94" t="n">
        <v>4</v>
      </c>
      <c r="I62" s="94" t="inlineStr">
        <is>
          <t>High</t>
        </is>
      </c>
      <c r="J62" s="69" t="inlineStr">
        <is>
          <t>3 partner exits 2020-26</t>
        </is>
      </c>
      <c r="K62" s="69" t="inlineStr">
        <is>
          <t>3 partner exits 2020-26; Mid-career / next-generation: room to lead and build a practice; Likely pay cut vs current profit share: needs equity / upside story</t>
        </is>
      </c>
    </row>
    <row r="63">
      <c r="A63" s="94" t="inlineStr">
        <is>
          <t>B</t>
        </is>
      </c>
      <c r="B63" s="94" t="n">
        <v>2</v>
      </c>
      <c r="C63" s="69" t="inlineStr">
        <is>
          <t>Leo Lee</t>
        </is>
      </c>
      <c r="D63" s="69" t="inlineStr">
        <is>
          <t>Roschier</t>
        </is>
      </c>
      <c r="E63" s="69" t="inlineStr">
        <is>
          <t>Corporate / M&amp;A</t>
        </is>
      </c>
      <c r="F63" s="69" t="inlineStr">
        <is>
          <t>Corporate / M&amp;A: CH: Up and Coming</t>
        </is>
      </c>
      <c r="G63" s="69" t="n"/>
      <c r="H63" s="94" t="n">
        <v>1</v>
      </c>
      <c r="I63" s="94" t="inlineStr">
        <is>
          <t>High</t>
        </is>
      </c>
      <c r="J63" s="69" t="inlineStr">
        <is>
          <t>3 partner exits 2020-26</t>
        </is>
      </c>
      <c r="K63" s="69" t="inlineStr">
        <is>
          <t>3 partner exits 2020-26; Mid-career / next-generation: room to lead and build a practice; Likely pay cut vs current profit share: needs equity / upside story</t>
        </is>
      </c>
    </row>
    <row r="64">
      <c r="A64" s="94" t="inlineStr">
        <is>
          <t>B</t>
        </is>
      </c>
      <c r="B64" s="94" t="n">
        <v>2</v>
      </c>
      <c r="C64" s="69" t="inlineStr">
        <is>
          <t>Niklas Eriksson</t>
        </is>
      </c>
      <c r="D64" s="69" t="inlineStr">
        <is>
          <t>Roschier</t>
        </is>
      </c>
      <c r="E64" s="69" t="inlineStr">
        <is>
          <t>Banking &amp; finance</t>
        </is>
      </c>
      <c r="F64" s="69" t="inlineStr">
        <is>
          <t>Banking &amp; finance: CH: Band 4</t>
        </is>
      </c>
      <c r="G64" s="69" t="inlineStr">
        <is>
          <t>Department head</t>
        </is>
      </c>
      <c r="H64" s="94" t="n">
        <v>3</v>
      </c>
      <c r="I64" s="94" t="inlineStr">
        <is>
          <t>High</t>
        </is>
      </c>
      <c r="J64" s="69" t="inlineStr">
        <is>
          <t>3 partner exits 2020-26</t>
        </is>
      </c>
      <c r="K64" s="69" t="inlineStr">
        <is>
          <t>3 partner exits 2020-26; Mid-career / next-generation: room to lead and build a practice; Likely pay cut vs current profit share: needs equity / upside story</t>
        </is>
      </c>
    </row>
    <row r="65">
      <c r="A65" s="94" t="inlineStr">
        <is>
          <t>B</t>
        </is>
      </c>
      <c r="B65" s="94" t="n">
        <v>2</v>
      </c>
      <c r="C65" s="69" t="inlineStr">
        <is>
          <t>Johannes Ericson</t>
        </is>
      </c>
      <c r="D65" s="69" t="inlineStr">
        <is>
          <t>Setterwalls</t>
        </is>
      </c>
      <c r="E65" s="69" t="inlineStr">
        <is>
          <t>Dispute resolution</t>
        </is>
      </c>
      <c r="F65" s="69" t="inlineStr">
        <is>
          <t>Dispute resolution: CH: Band 4</t>
        </is>
      </c>
      <c r="G65" s="69" t="n"/>
      <c r="H65" s="94" t="n">
        <v>13</v>
      </c>
      <c r="I65" s="94" t="inlineStr">
        <is>
          <t>High</t>
        </is>
      </c>
      <c r="J65" s="69" t="inlineStr">
        <is>
          <t>Malmö office (12 partners) left for AGRD, Sep-2026</t>
        </is>
      </c>
      <c r="K65" s="69" t="inlineStr">
        <is>
          <t>Firm under pressure: Malmö office (12 partners) left for AGRD, Sep-2026; Mid-career / next-generation: room to lead and build a practice; Likely pay cut vs current profit share: needs equity / upside story</t>
        </is>
      </c>
    </row>
    <row r="66">
      <c r="A66" s="94" t="inlineStr">
        <is>
          <t>B</t>
        </is>
      </c>
      <c r="B66" s="94" t="n">
        <v>2</v>
      </c>
      <c r="C66" s="69" t="inlineStr">
        <is>
          <t>Claes Kjellberg</t>
        </is>
      </c>
      <c r="D66" s="69" t="inlineStr">
        <is>
          <t>Snellman</t>
        </is>
      </c>
      <c r="E66" s="69" t="inlineStr">
        <is>
          <t>Corporate / M&amp;A</t>
        </is>
      </c>
      <c r="F66" s="69" t="inlineStr">
        <is>
          <t>Corporate / M&amp;A: L500: Leading partners, CH: Band 5</t>
        </is>
      </c>
      <c r="G66" s="69" t="inlineStr">
        <is>
          <t>Partner</t>
        </is>
      </c>
      <c r="H66" s="94" t="n">
        <v>8</v>
      </c>
      <c r="I66" s="94" t="inlineStr">
        <is>
          <t>Medium</t>
        </is>
      </c>
      <c r="J66" s="69" t="inlineStr">
        <is>
          <t>Separated from Hannes Snellman (2024); ~5 partner exits since 2024 incl. heads of competition and disputes</t>
        </is>
      </c>
      <c r="K66" s="69" t="inlineStr">
        <is>
          <t>Firm under pressure: Separated from Hannes Snellman (2024); ~5 partner exits since 2024 incl. heads of competition and disputes</t>
        </is>
      </c>
    </row>
    <row r="67">
      <c r="A67" s="94" t="inlineStr">
        <is>
          <t>B</t>
        </is>
      </c>
      <c r="B67" s="94" t="n">
        <v>2</v>
      </c>
      <c r="C67" s="69" t="inlineStr">
        <is>
          <t>Richard Åkerman</t>
        </is>
      </c>
      <c r="D67" s="69" t="inlineStr">
        <is>
          <t>Snellman</t>
        </is>
      </c>
      <c r="E67" s="69" t="inlineStr">
        <is>
          <t>Corporate / M&amp;A</t>
        </is>
      </c>
      <c r="F67" s="69" t="inlineStr">
        <is>
          <t>Corporate / M&amp;A: CH: Band 5</t>
        </is>
      </c>
      <c r="G67" s="69" t="n"/>
      <c r="H67" s="94" t="n">
        <v>20</v>
      </c>
      <c r="I67" s="94" t="inlineStr">
        <is>
          <t>Medium</t>
        </is>
      </c>
      <c r="J67" s="69" t="inlineStr">
        <is>
          <t>Separated from Hannes Snellman (2024); ~5 partner exits since 2024 incl. heads of competition and disputes</t>
        </is>
      </c>
      <c r="K67" s="69" t="inlineStr">
        <is>
          <t>Firm under pressure: Separated from Hannes Snellman (2024); ~5 partner exits since 2024 incl. heads of competition and disputes; Mid-career / next-generation: room to lead and build a practice</t>
        </is>
      </c>
    </row>
    <row r="68">
      <c r="A68" s="94" t="inlineStr">
        <is>
          <t>B</t>
        </is>
      </c>
      <c r="B68" s="94" t="n">
        <v>2</v>
      </c>
      <c r="C68" s="69" t="inlineStr">
        <is>
          <t>Tobhias Brandell</t>
        </is>
      </c>
      <c r="D68" s="69" t="inlineStr">
        <is>
          <t>TM &amp; Partners</t>
        </is>
      </c>
      <c r="E68" s="69" t="inlineStr">
        <is>
          <t>Banking &amp; finance</t>
        </is>
      </c>
      <c r="F68" s="69" t="inlineStr">
        <is>
          <t>Banking &amp; finance: CH: Band 3</t>
        </is>
      </c>
      <c r="G68" s="69" t="n"/>
      <c r="H68" s="94" t="n">
        <v>15</v>
      </c>
      <c r="I68" s="94" t="inlineStr">
        <is>
          <t>Lower</t>
        </is>
      </c>
      <c r="J68" s="69" t="inlineStr">
        <is>
          <t>AGRD (PE-owned) member: lawyers left the Bar; partners wishing to remain advokater may move</t>
        </is>
      </c>
      <c r="K68" s="69" t="inlineStr">
        <is>
          <t>AGRD (PE-owned) member: lawyers left the Bar; partners wishing to remain advokater may move; Mid-career / next-generation: room to lead and build a practice</t>
        </is>
      </c>
    </row>
    <row r="69">
      <c r="A69" s="94" t="inlineStr">
        <is>
          <t>B</t>
        </is>
      </c>
      <c r="B69" s="94" t="n">
        <v>2</v>
      </c>
      <c r="C69" s="69" t="inlineStr">
        <is>
          <t>Ginta Ahrel</t>
        </is>
      </c>
      <c r="D69" s="69" t="inlineStr">
        <is>
          <t>Westerberg &amp; Partners</t>
        </is>
      </c>
      <c r="E69" s="69" t="inlineStr">
        <is>
          <t>Dispute resolution</t>
        </is>
      </c>
      <c r="F69" s="69" t="inlineStr">
        <is>
          <t>Dispute resolution: L500: Leading partners, CH: Band 3</t>
        </is>
      </c>
      <c r="G69" s="69" t="n"/>
      <c r="H69" s="94" t="n">
        <v>6</v>
      </c>
      <c r="I69" s="94" t="inlineStr">
        <is>
          <t>Lower</t>
        </is>
      </c>
      <c r="J69" s="69" t="n"/>
      <c r="K69" s="69" t="n"/>
    </row>
    <row r="70">
      <c r="A70" s="94" t="inlineStr">
        <is>
          <t>B</t>
        </is>
      </c>
      <c r="B70" s="94" t="n">
        <v>1</v>
      </c>
      <c r="C70" s="69" t="inlineStr">
        <is>
          <t>Carl Svernlöv</t>
        </is>
      </c>
      <c r="D70" s="69" t="inlineStr">
        <is>
          <t>Baker McKenzie</t>
        </is>
      </c>
      <c r="E70" s="69" t="inlineStr">
        <is>
          <t>Corporate / M&amp;A</t>
        </is>
      </c>
      <c r="F70" s="69" t="inlineStr">
        <is>
          <t>Corporate / M&amp;A: L500: Hall of Fame</t>
        </is>
      </c>
      <c r="G70" s="69" t="n"/>
      <c r="H70" s="94" t="n"/>
      <c r="I70" s="94" t="inlineStr">
        <is>
          <t>Medium</t>
        </is>
      </c>
      <c r="J70" s="69" t="inlineStr">
        <is>
          <t>2 partner exits 2025-26; moving away from billable hour</t>
        </is>
      </c>
      <c r="K70" s="69" t="inlineStr">
        <is>
          <t>Firm under pressure: 2 partner exits 2025-26; moving away from billable hour; Senior market leader: hard to move; possible senior adviser / team anchor</t>
        </is>
      </c>
    </row>
    <row r="71">
      <c r="A71" s="94" t="inlineStr">
        <is>
          <t>B</t>
        </is>
      </c>
      <c r="B71" s="94" t="n">
        <v>1</v>
      </c>
      <c r="C71" s="69" t="inlineStr">
        <is>
          <t>Erik Wernberg</t>
        </is>
      </c>
      <c r="D71" s="69" t="inlineStr">
        <is>
          <t>Cederquist</t>
        </is>
      </c>
      <c r="E71" s="69" t="inlineStr">
        <is>
          <t>Dispute resolution</t>
        </is>
      </c>
      <c r="F71" s="69" t="inlineStr">
        <is>
          <t>Dispute resolution: L500: Leading partners, CH: Band 2</t>
        </is>
      </c>
      <c r="G71" s="69" t="inlineStr">
        <is>
          <t>Partner. Head of Dispute Resolution</t>
        </is>
      </c>
      <c r="H71" s="94" t="n">
        <v>15</v>
      </c>
      <c r="I71" s="94" t="inlineStr">
        <is>
          <t>Medium</t>
        </is>
      </c>
      <c r="J71" s="69" t="inlineStr">
        <is>
          <t>3 partner exits 2023-25 incl. ex-MP (RE:FI STHLM spin-out)</t>
        </is>
      </c>
      <c r="K71" s="69" t="inlineStr">
        <is>
          <t>Firm under pressure: 3 partner exits 2023-25 incl. ex-MP (RE:FI STHLM spin-out)</t>
        </is>
      </c>
    </row>
    <row r="72">
      <c r="A72" s="94" t="inlineStr">
        <is>
          <t>B</t>
        </is>
      </c>
      <c r="B72" s="94" t="n">
        <v>1</v>
      </c>
      <c r="C72" s="69" t="inlineStr">
        <is>
          <t>Fredrik Forssman</t>
        </is>
      </c>
      <c r="D72" s="69" t="inlineStr">
        <is>
          <t>Cederquist</t>
        </is>
      </c>
      <c r="E72" s="69" t="inlineStr">
        <is>
          <t>Dispute resolution</t>
        </is>
      </c>
      <c r="F72" s="69" t="inlineStr">
        <is>
          <t>Dispute resolution: CH: Band 2</t>
        </is>
      </c>
      <c r="G72" s="69" t="n"/>
      <c r="H72" s="94" t="n">
        <v>17</v>
      </c>
      <c r="I72" s="94" t="inlineStr">
        <is>
          <t>Medium</t>
        </is>
      </c>
      <c r="J72" s="69" t="inlineStr">
        <is>
          <t>3 partner exits 2023-25 incl. ex-MP (RE:FI STHLM spin-out)</t>
        </is>
      </c>
      <c r="K72" s="69" t="inlineStr">
        <is>
          <t>Firm under pressure: 3 partner exits 2023-25 incl. ex-MP (RE:FI STHLM spin-out)</t>
        </is>
      </c>
    </row>
    <row r="73">
      <c r="A73" s="94" t="inlineStr">
        <is>
          <t>B</t>
        </is>
      </c>
      <c r="B73" s="94" t="n">
        <v>1</v>
      </c>
      <c r="C73" s="69" t="inlineStr">
        <is>
          <t>Joséphine Tessmar</t>
        </is>
      </c>
      <c r="D73" s="69" t="inlineStr">
        <is>
          <t>DLA Piper</t>
        </is>
      </c>
      <c r="E73" s="69" t="inlineStr">
        <is>
          <t>Banking &amp; finance</t>
        </is>
      </c>
      <c r="F73" s="69" t="inlineStr">
        <is>
          <t>Banking &amp; finance: L500: Next Generation Partners</t>
        </is>
      </c>
      <c r="G73" s="69" t="n"/>
      <c r="H73" s="94" t="n"/>
      <c r="I73" s="94" t="inlineStr">
        <is>
          <t>Medium</t>
        </is>
      </c>
      <c r="J73" s="69" t="inlineStr">
        <is>
          <t>Revenue -9% FY24/25; net partner gainer</t>
        </is>
      </c>
      <c r="K73" s="69" t="inlineStr">
        <is>
          <t>Mid-career / next-generation: room to lead and build a practice</t>
        </is>
      </c>
    </row>
    <row r="74">
      <c r="A74" s="94" t="inlineStr">
        <is>
          <t>B</t>
        </is>
      </c>
      <c r="B74" s="94" t="n">
        <v>1</v>
      </c>
      <c r="C74" s="69" t="inlineStr">
        <is>
          <t>Mathias Berggren</t>
        </is>
      </c>
      <c r="D74" s="69" t="inlineStr">
        <is>
          <t>DLA Piper</t>
        </is>
      </c>
      <c r="E74" s="69" t="inlineStr">
        <is>
          <t>Corporate / M&amp;A</t>
        </is>
      </c>
      <c r="F74" s="69" t="inlineStr">
        <is>
          <t>Corporate / M&amp;A: CH: Band 4</t>
        </is>
      </c>
      <c r="G74" s="69" t="n"/>
      <c r="H74" s="94" t="n">
        <v>14</v>
      </c>
      <c r="I74" s="94" t="inlineStr">
        <is>
          <t>Medium</t>
        </is>
      </c>
      <c r="J74" s="69" t="inlineStr">
        <is>
          <t>Revenue -9% FY24/25; net partner gainer</t>
        </is>
      </c>
      <c r="K74" s="69" t="inlineStr">
        <is>
          <t>Mid-career / next-generation: room to lead and build a practice</t>
        </is>
      </c>
    </row>
    <row r="75">
      <c r="A75" s="94" t="inlineStr">
        <is>
          <t>B</t>
        </is>
      </c>
      <c r="B75" s="94" t="n">
        <v>1</v>
      </c>
      <c r="C75" s="69" t="inlineStr">
        <is>
          <t>Mikael Bolling</t>
        </is>
      </c>
      <c r="D75" s="69" t="inlineStr">
        <is>
          <t>Gernandt &amp; Danielsson</t>
        </is>
      </c>
      <c r="E75" s="69" t="inlineStr">
        <is>
          <t>Banking &amp; finance</t>
        </is>
      </c>
      <c r="F75" s="69" t="inlineStr">
        <is>
          <t>Banking &amp; finance: CH: Band 3</t>
        </is>
      </c>
      <c r="G75" s="69" t="n"/>
      <c r="H75" s="94" t="n">
        <v>4</v>
      </c>
      <c r="I75" s="94" t="inlineStr">
        <is>
          <t>High</t>
        </is>
      </c>
      <c r="J75" s="69" t="inlineStr">
        <is>
          <t>Net partner gainer (team lifts 2024-26)</t>
        </is>
      </c>
      <c r="K75" s="69" t="inlineStr">
        <is>
          <t>Mid-career / next-generation: room to lead and build a practice; Likely pay cut vs current profit share: needs equity / upside story</t>
        </is>
      </c>
    </row>
    <row r="76">
      <c r="A76" s="94" t="inlineStr">
        <is>
          <t>B</t>
        </is>
      </c>
      <c r="B76" s="94" t="n">
        <v>1</v>
      </c>
      <c r="C76" s="69" t="inlineStr">
        <is>
          <t>Oscar Anderson</t>
        </is>
      </c>
      <c r="D76" s="69" t="inlineStr">
        <is>
          <t>Gernandt &amp; Danielsson</t>
        </is>
      </c>
      <c r="E76" s="69" t="inlineStr">
        <is>
          <t>Corporate / M&amp;A</t>
        </is>
      </c>
      <c r="F76" s="69" t="inlineStr">
        <is>
          <t>Corporate / M&amp;A: CH: Up and Coming</t>
        </is>
      </c>
      <c r="G76" s="69" t="n"/>
      <c r="H76" s="94" t="n">
        <v>2</v>
      </c>
      <c r="I76" s="94" t="inlineStr">
        <is>
          <t>High</t>
        </is>
      </c>
      <c r="J76" s="69" t="inlineStr">
        <is>
          <t>Net partner gainer (team lifts 2024-26)</t>
        </is>
      </c>
      <c r="K76" s="69" t="inlineStr">
        <is>
          <t>Mid-career / next-generation: room to lead and build a practice; Likely pay cut vs current profit share: needs equity / upside story</t>
        </is>
      </c>
    </row>
    <row r="77">
      <c r="A77" s="94" t="inlineStr">
        <is>
          <t>B</t>
        </is>
      </c>
      <c r="B77" s="94" t="n">
        <v>1</v>
      </c>
      <c r="C77" s="69" t="inlineStr">
        <is>
          <t>Pär Johansson</t>
        </is>
      </c>
      <c r="D77" s="69" t="inlineStr">
        <is>
          <t>Gernandt &amp; Danielsson</t>
        </is>
      </c>
      <c r="E77" s="69" t="inlineStr">
        <is>
          <t>Corporate / M&amp;A</t>
        </is>
      </c>
      <c r="F77" s="69" t="inlineStr">
        <is>
          <t>Corporate / M&amp;A: CH: Band 5</t>
        </is>
      </c>
      <c r="G77" s="69" t="n"/>
      <c r="H77" s="94" t="n">
        <v>2</v>
      </c>
      <c r="I77" s="94" t="inlineStr">
        <is>
          <t>High</t>
        </is>
      </c>
      <c r="J77" s="69" t="inlineStr">
        <is>
          <t>Net partner gainer (team lifts 2024-26)</t>
        </is>
      </c>
      <c r="K77" s="69" t="inlineStr">
        <is>
          <t>Mid-career / next-generation: room to lead and build a practice; Likely pay cut vs current profit share: needs equity / upside story</t>
        </is>
      </c>
    </row>
    <row r="78">
      <c r="A78" s="94" t="inlineStr">
        <is>
          <t>B</t>
        </is>
      </c>
      <c r="B78" s="94" t="n">
        <v>1</v>
      </c>
      <c r="C78" s="69" t="inlineStr">
        <is>
          <t>Björn Wendleby</t>
        </is>
      </c>
      <c r="D78" s="69" t="inlineStr">
        <is>
          <t>Harvest</t>
        </is>
      </c>
      <c r="E78" s="69" t="inlineStr">
        <is>
          <t>Banking &amp; finance</t>
        </is>
      </c>
      <c r="F78" s="69" t="inlineStr">
        <is>
          <t>Banking &amp; finance: L500: Leading partners</t>
        </is>
      </c>
      <c r="G78" s="69" t="n"/>
      <c r="H78" s="94" t="n">
        <v>13</v>
      </c>
      <c r="I78" s="94" t="inlineStr">
        <is>
          <t>Lower</t>
        </is>
      </c>
      <c r="J78" s="69" t="n"/>
      <c r="K78" s="69" t="n"/>
    </row>
    <row r="79">
      <c r="A79" s="94" t="inlineStr">
        <is>
          <t>B</t>
        </is>
      </c>
      <c r="B79" s="94" t="n">
        <v>1</v>
      </c>
      <c r="C79" s="69" t="inlineStr">
        <is>
          <t>Henrik Bielenstein</t>
        </is>
      </c>
      <c r="D79" s="69" t="inlineStr">
        <is>
          <t>Kastell</t>
        </is>
      </c>
      <c r="E79" s="69" t="inlineStr">
        <is>
          <t>Dispute resolution</t>
        </is>
      </c>
      <c r="F79" s="69" t="inlineStr">
        <is>
          <t>Dispute resolution: CH: Band 3</t>
        </is>
      </c>
      <c r="G79" s="69" t="n"/>
      <c r="H79" s="94" t="n">
        <v>20</v>
      </c>
      <c r="I79" s="94" t="inlineStr">
        <is>
          <t>Lower</t>
        </is>
      </c>
      <c r="J79" s="69" t="n"/>
      <c r="K79" s="69" t="inlineStr">
        <is>
          <t>Mid-career / next-generation: room to lead and build a practice</t>
        </is>
      </c>
    </row>
    <row r="80">
      <c r="A80" s="94" t="inlineStr">
        <is>
          <t>B</t>
        </is>
      </c>
      <c r="B80" s="94" t="n">
        <v>1</v>
      </c>
      <c r="C80" s="69" t="inlineStr">
        <is>
          <t>Elisabet Lundgren</t>
        </is>
      </c>
      <c r="D80" s="69" t="inlineStr">
        <is>
          <t>Linklaters</t>
        </is>
      </c>
      <c r="E80" s="69" t="inlineStr">
        <is>
          <t>Corporate / M&amp;A</t>
        </is>
      </c>
      <c r="F80" s="69" t="inlineStr">
        <is>
          <t>Corporate / M&amp;A: CH: Band 3</t>
        </is>
      </c>
      <c r="G80" s="69" t="n"/>
      <c r="H80" s="94" t="n">
        <v>20</v>
      </c>
      <c r="I80" s="94" t="inlineStr">
        <is>
          <t>High</t>
        </is>
      </c>
      <c r="J80" s="69" t="inlineStr">
        <is>
          <t>No new partners for 3 years; Stockholm staff down from 88 to 75</t>
        </is>
      </c>
      <c r="K80" s="69" t="inlineStr">
        <is>
          <t>Firm under pressure: No new partners for 3 years; Stockholm staff down from 88 to 75; Mid-career / next-generation: room to lead and build a practice; Likely pay cut vs current profit share: needs equity / upside story</t>
        </is>
      </c>
    </row>
    <row r="81">
      <c r="A81" s="94" t="inlineStr">
        <is>
          <t>B</t>
        </is>
      </c>
      <c r="B81" s="94" t="n">
        <v>1</v>
      </c>
      <c r="C81" s="69" t="inlineStr">
        <is>
          <t>Anders Bäckman</t>
        </is>
      </c>
      <c r="D81" s="69" t="inlineStr">
        <is>
          <t>Magnusson</t>
        </is>
      </c>
      <c r="E81" s="69" t="inlineStr">
        <is>
          <t>Corporate / M&amp;A</t>
        </is>
      </c>
      <c r="F81" s="69" t="inlineStr">
        <is>
          <t>Corporate / M&amp;A: CH: Band 5</t>
        </is>
      </c>
      <c r="G81" s="69" t="n"/>
      <c r="H81" s="94" t="n">
        <v>19</v>
      </c>
      <c r="I81" s="94" t="inlineStr">
        <is>
          <t>Lower</t>
        </is>
      </c>
      <c r="J81" s="69" t="inlineStr">
        <is>
          <t>Merged with Gro (Oct-2026)</t>
        </is>
      </c>
      <c r="K81" s="69" t="inlineStr">
        <is>
          <t>Mid-career / next-generation: room to lead and build a practice</t>
        </is>
      </c>
    </row>
    <row r="82">
      <c r="A82" s="94" t="inlineStr">
        <is>
          <t>B</t>
        </is>
      </c>
      <c r="B82" s="94" t="n">
        <v>1</v>
      </c>
      <c r="C82" s="69" t="inlineStr">
        <is>
          <t>Anders Ingvarson</t>
        </is>
      </c>
      <c r="D82" s="69" t="inlineStr">
        <is>
          <t>Mannheimer Swartling</t>
        </is>
      </c>
      <c r="E82" s="69" t="inlineStr">
        <is>
          <t>Dispute resolution</t>
        </is>
      </c>
      <c r="F82" s="69" t="inlineStr">
        <is>
          <t>Dispute resolution: CH: Band 4</t>
        </is>
      </c>
      <c r="G82" s="69" t="n"/>
      <c r="H82" s="94" t="n">
        <v>1</v>
      </c>
      <c r="I82" s="94" t="inlineStr">
        <is>
          <t>High</t>
        </is>
      </c>
      <c r="J82" s="69" t="inlineStr">
        <is>
          <t>Lockstep: profit pool ~SEK 8.7m/partner; 2 partner exits since 2024</t>
        </is>
      </c>
      <c r="K82" s="69" t="inlineStr">
        <is>
          <t>Mid-career / next-generation: room to lead and build a practice; Likely pay cut vs current profit share: needs equity / upside story</t>
        </is>
      </c>
    </row>
    <row r="83">
      <c r="A83" s="94" t="inlineStr">
        <is>
          <t>B</t>
        </is>
      </c>
      <c r="B83" s="94" t="n">
        <v>1</v>
      </c>
      <c r="C83" s="69" t="inlineStr">
        <is>
          <t>Daniel Khayyami</t>
        </is>
      </c>
      <c r="D83" s="69" t="inlineStr">
        <is>
          <t>Mannheimer Swartling</t>
        </is>
      </c>
      <c r="E83" s="69" t="inlineStr">
        <is>
          <t>Banking &amp; finance</t>
        </is>
      </c>
      <c r="F83" s="69" t="inlineStr">
        <is>
          <t>Banking &amp; finance: L500: Next Generation Partners, CH: Band 3</t>
        </is>
      </c>
      <c r="G83" s="69" t="n"/>
      <c r="H83" s="94" t="n">
        <v>4</v>
      </c>
      <c r="I83" s="94" t="inlineStr">
        <is>
          <t>High</t>
        </is>
      </c>
      <c r="J83" s="69" t="inlineStr">
        <is>
          <t>Lockstep: profit pool ~SEK 8.7m/partner; 2 partner exits since 2024</t>
        </is>
      </c>
      <c r="K83" s="69" t="inlineStr">
        <is>
          <t>Mid-career / next-generation: room to lead and build a practice; Likely pay cut vs current profit share: needs equity / upside story</t>
        </is>
      </c>
    </row>
    <row r="84">
      <c r="A84" s="94" t="inlineStr">
        <is>
          <t>B</t>
        </is>
      </c>
      <c r="B84" s="94" t="n">
        <v>1</v>
      </c>
      <c r="C84" s="69" t="inlineStr">
        <is>
          <t>Gustav Glimblad</t>
        </is>
      </c>
      <c r="D84" s="69" t="inlineStr">
        <is>
          <t>Mannheimer Swartling</t>
        </is>
      </c>
      <c r="E84" s="69" t="inlineStr">
        <is>
          <t>Banking &amp; finance</t>
        </is>
      </c>
      <c r="F84" s="69" t="inlineStr">
        <is>
          <t>Banking &amp; finance: CH: Up and Coming</t>
        </is>
      </c>
      <c r="G84" s="69" t="n"/>
      <c r="H84" s="94" t="n">
        <v>2</v>
      </c>
      <c r="I84" s="94" t="inlineStr">
        <is>
          <t>High</t>
        </is>
      </c>
      <c r="J84" s="69" t="inlineStr">
        <is>
          <t>Lockstep: profit pool ~SEK 8.7m/partner; 2 partner exits since 2024</t>
        </is>
      </c>
      <c r="K84" s="69" t="inlineStr">
        <is>
          <t>Mid-career / next-generation: room to lead and build a practice; Likely pay cut vs current profit share: needs equity / upside story</t>
        </is>
      </c>
    </row>
    <row r="85">
      <c r="A85" s="94" t="inlineStr">
        <is>
          <t>B</t>
        </is>
      </c>
      <c r="B85" s="94" t="n">
        <v>1</v>
      </c>
      <c r="C85" s="69" t="inlineStr">
        <is>
          <t>Henrik Dock</t>
        </is>
      </c>
      <c r="D85" s="69" t="inlineStr">
        <is>
          <t>Mannheimer Swartling</t>
        </is>
      </c>
      <c r="E85" s="69" t="inlineStr">
        <is>
          <t>Corporate / M&amp;A</t>
        </is>
      </c>
      <c r="F85" s="69" t="inlineStr">
        <is>
          <t>Corporate / M&amp;A: CH: Up and Coming</t>
        </is>
      </c>
      <c r="G85" s="69" t="n"/>
      <c r="H85" s="94" t="n">
        <v>2</v>
      </c>
      <c r="I85" s="94" t="inlineStr">
        <is>
          <t>High</t>
        </is>
      </c>
      <c r="J85" s="69" t="inlineStr">
        <is>
          <t>Lockstep: profit pool ~SEK 8.7m/partner; 2 partner exits since 2024</t>
        </is>
      </c>
      <c r="K85" s="69" t="inlineStr">
        <is>
          <t>Mid-career / next-generation: room to lead and build a practice; Likely pay cut vs current profit share: needs equity / upside story</t>
        </is>
      </c>
    </row>
    <row r="86">
      <c r="A86" s="94" t="inlineStr">
        <is>
          <t>B</t>
        </is>
      </c>
      <c r="B86" s="94" t="n">
        <v>1</v>
      </c>
      <c r="C86" s="69" t="inlineStr">
        <is>
          <t>Jon Rastad</t>
        </is>
      </c>
      <c r="D86" s="69" t="inlineStr">
        <is>
          <t>Mannheimer Swartling</t>
        </is>
      </c>
      <c r="E86" s="69" t="inlineStr">
        <is>
          <t>Corporate / M&amp;A; Private equity</t>
        </is>
      </c>
      <c r="F86" s="69" t="inlineStr">
        <is>
          <t>Corporate / M&amp;A: L500: Next Generation Partners, CH: Up and Coming | Private equity: CH: Up and Coming</t>
        </is>
      </c>
      <c r="G86" s="69" t="n"/>
      <c r="H86" s="94" t="n">
        <v>1</v>
      </c>
      <c r="I86" s="94" t="inlineStr">
        <is>
          <t>High</t>
        </is>
      </c>
      <c r="J86" s="69" t="inlineStr">
        <is>
          <t>Lockstep: profit pool ~SEK 8.7m/partner; 2 partner exits since 2024</t>
        </is>
      </c>
      <c r="K86" s="69" t="inlineStr">
        <is>
          <t>Mid-career / next-generation: room to lead and build a practice; Likely pay cut vs current profit share: needs equity / upside story; Ranked in Corporate / M&amp;A &amp; Private equity</t>
        </is>
      </c>
    </row>
    <row r="87">
      <c r="A87" s="94" t="inlineStr">
        <is>
          <t>B</t>
        </is>
      </c>
      <c r="B87" s="94" t="n">
        <v>1</v>
      </c>
      <c r="C87" s="69" t="inlineStr">
        <is>
          <t>Robin Rylander</t>
        </is>
      </c>
      <c r="D87" s="69" t="inlineStr">
        <is>
          <t>Mannheimer Swartling</t>
        </is>
      </c>
      <c r="E87" s="69" t="inlineStr">
        <is>
          <t>Dispute resolution</t>
        </is>
      </c>
      <c r="F87" s="69" t="inlineStr">
        <is>
          <t>Dispute resolution: CH: Band 4</t>
        </is>
      </c>
      <c r="G87" s="69" t="n"/>
      <c r="H87" s="94" t="n">
        <v>1</v>
      </c>
      <c r="I87" s="94" t="inlineStr">
        <is>
          <t>High</t>
        </is>
      </c>
      <c r="J87" s="69" t="inlineStr">
        <is>
          <t>Lockstep: profit pool ~SEK 8.7m/partner; 2 partner exits since 2024</t>
        </is>
      </c>
      <c r="K87" s="69" t="inlineStr">
        <is>
          <t>Mid-career / next-generation: room to lead and build a practice; Likely pay cut vs current profit share: needs equity / upside story</t>
        </is>
      </c>
    </row>
    <row r="88">
      <c r="A88" s="94" t="inlineStr">
        <is>
          <t>B</t>
        </is>
      </c>
      <c r="B88" s="94" t="n">
        <v>1</v>
      </c>
      <c r="C88" s="69" t="inlineStr">
        <is>
          <t>Björn Winström</t>
        </is>
      </c>
      <c r="D88" s="69" t="inlineStr">
        <is>
          <t>Roschier</t>
        </is>
      </c>
      <c r="E88" s="69" t="inlineStr">
        <is>
          <t>Corporate / M&amp;A</t>
        </is>
      </c>
      <c r="F88" s="69" t="inlineStr">
        <is>
          <t>Corporate / M&amp;A: CH: Band 3</t>
        </is>
      </c>
      <c r="G88" s="69" t="inlineStr">
        <is>
          <t>Department head</t>
        </is>
      </c>
      <c r="H88" s="94" t="n">
        <v>13</v>
      </c>
      <c r="I88" s="94" t="inlineStr">
        <is>
          <t>High</t>
        </is>
      </c>
      <c r="J88" s="69" t="inlineStr">
        <is>
          <t>3 partner exits 2020-26</t>
        </is>
      </c>
      <c r="K88" s="69" t="inlineStr">
        <is>
          <t>3 partner exits 2020-26; Mid-career / next-generation: room to lead and build a practice; Likely pay cut vs current profit share: needs equity / upside story</t>
        </is>
      </c>
    </row>
    <row r="89">
      <c r="A89" s="94" t="inlineStr">
        <is>
          <t>B</t>
        </is>
      </c>
      <c r="B89" s="94" t="n">
        <v>1</v>
      </c>
      <c r="C89" s="69" t="inlineStr">
        <is>
          <t>Shirin Saif</t>
        </is>
      </c>
      <c r="D89" s="69" t="inlineStr">
        <is>
          <t>Roschier</t>
        </is>
      </c>
      <c r="E89" s="69" t="inlineStr">
        <is>
          <t>Dispute resolution</t>
        </is>
      </c>
      <c r="F89" s="69" t="inlineStr">
        <is>
          <t>Dispute resolution: L500: Leading partners, CH: Band 4</t>
        </is>
      </c>
      <c r="G89" s="69" t="n"/>
      <c r="H89" s="94" t="n">
        <v>4</v>
      </c>
      <c r="I89" s="94" t="inlineStr">
        <is>
          <t>High</t>
        </is>
      </c>
      <c r="J89" s="69" t="inlineStr">
        <is>
          <t>3 partner exits 2020-26</t>
        </is>
      </c>
      <c r="K89" s="69" t="inlineStr">
        <is>
          <t>3 partner exits 2020-26; Likely pay cut vs current profit share: needs equity / upside story</t>
        </is>
      </c>
    </row>
    <row r="90">
      <c r="A90" s="94" t="inlineStr">
        <is>
          <t>B</t>
        </is>
      </c>
      <c r="B90" s="94" t="n">
        <v>1</v>
      </c>
      <c r="C90" s="69" t="inlineStr">
        <is>
          <t>Veronica Stiller</t>
        </is>
      </c>
      <c r="D90" s="69" t="inlineStr">
        <is>
          <t>Roschier</t>
        </is>
      </c>
      <c r="E90" s="69" t="inlineStr">
        <is>
          <t>Banking &amp; finance</t>
        </is>
      </c>
      <c r="F90" s="69" t="inlineStr">
        <is>
          <t>Banking &amp; finance: L500: Leading partners, CH: Band 3</t>
        </is>
      </c>
      <c r="G90" s="69" t="n"/>
      <c r="H90" s="94" t="n">
        <v>4</v>
      </c>
      <c r="I90" s="94" t="inlineStr">
        <is>
          <t>High</t>
        </is>
      </c>
      <c r="J90" s="69" t="inlineStr">
        <is>
          <t>3 partner exits 2020-26</t>
        </is>
      </c>
      <c r="K90" s="69" t="inlineStr">
        <is>
          <t>3 partner exits 2020-26; Likely pay cut vs current profit share: needs equity / upside story</t>
        </is>
      </c>
    </row>
    <row r="91">
      <c r="A91" s="94" t="inlineStr">
        <is>
          <t>B</t>
        </is>
      </c>
      <c r="B91" s="94" t="n">
        <v>1</v>
      </c>
      <c r="C91" s="69" t="inlineStr">
        <is>
          <t>Carl Lindencrona</t>
        </is>
      </c>
      <c r="D91" s="69" t="inlineStr">
        <is>
          <t>Setterwalls</t>
        </is>
      </c>
      <c r="E91" s="69" t="inlineStr">
        <is>
          <t>Banking &amp; finance</t>
        </is>
      </c>
      <c r="F91" s="69" t="inlineStr">
        <is>
          <t>Banking &amp; finance: L500: Leading partners, CH: Band 2</t>
        </is>
      </c>
      <c r="G91" s="69" t="inlineStr">
        <is>
          <t>Partner. Banking and finance, Restructuring and insolvency</t>
        </is>
      </c>
      <c r="H91" s="94" t="n">
        <v>8</v>
      </c>
      <c r="I91" s="94" t="inlineStr">
        <is>
          <t>High</t>
        </is>
      </c>
      <c r="J91" s="69" t="inlineStr">
        <is>
          <t>Malmö office (12 partners) left for AGRD, Sep-2026</t>
        </is>
      </c>
      <c r="K91" s="69" t="inlineStr">
        <is>
          <t>Firm under pressure: Malmö office (12 partners) left for AGRD, Sep-2026; Likely pay cut vs current profit share: needs equity / upside story</t>
        </is>
      </c>
    </row>
    <row r="92">
      <c r="A92" s="94" t="inlineStr">
        <is>
          <t>B</t>
        </is>
      </c>
      <c r="B92" s="94" t="n">
        <v>1</v>
      </c>
      <c r="C92" s="69" t="inlineStr">
        <is>
          <t>Johan Strömbäck</t>
        </is>
      </c>
      <c r="D92" s="69" t="inlineStr">
        <is>
          <t>Setterwalls</t>
        </is>
      </c>
      <c r="E92" s="69" t="inlineStr">
        <is>
          <t>Dispute resolution</t>
        </is>
      </c>
      <c r="F92" s="69" t="inlineStr">
        <is>
          <t>Dispute resolution: L500: Leading partners, CH: Band 3</t>
        </is>
      </c>
      <c r="G92" s="69" t="inlineStr">
        <is>
          <t>Partner. Dispute Resolution, Corporate law</t>
        </is>
      </c>
      <c r="H92" s="94" t="n">
        <v>12</v>
      </c>
      <c r="I92" s="94" t="inlineStr">
        <is>
          <t>High</t>
        </is>
      </c>
      <c r="J92" s="69" t="inlineStr">
        <is>
          <t>Malmö office (12 partners) left for AGRD, Sep-2026</t>
        </is>
      </c>
      <c r="K92" s="69" t="inlineStr">
        <is>
          <t>Firm under pressure: Malmö office (12 partners) left for AGRD, Sep-2026; Likely pay cut vs current profit share: needs equity / upside story</t>
        </is>
      </c>
    </row>
    <row r="93">
      <c r="A93" s="94" t="inlineStr">
        <is>
          <t>B</t>
        </is>
      </c>
      <c r="B93" s="94" t="n">
        <v>1</v>
      </c>
      <c r="C93" s="69" t="inlineStr">
        <is>
          <t>Mattias Detterfelt</t>
        </is>
      </c>
      <c r="D93" s="69" t="inlineStr">
        <is>
          <t>Setterwalls</t>
        </is>
      </c>
      <c r="E93" s="69" t="inlineStr">
        <is>
          <t>Corporate / M&amp;A; Private equity</t>
        </is>
      </c>
      <c r="F93" s="69" t="inlineStr">
        <is>
          <t>Corporate / M&amp;A: L500: Leading partners, CH: Band 4 | Private equity: CH: Band 2</t>
        </is>
      </c>
      <c r="G93" s="69" t="inlineStr">
        <is>
          <t>Partner. Equity Capital Markets, Mergers &amp; Acquisitions, M&amp;A</t>
        </is>
      </c>
      <c r="H93" s="94" t="n">
        <v>13</v>
      </c>
      <c r="I93" s="94" t="inlineStr">
        <is>
          <t>High</t>
        </is>
      </c>
      <c r="J93" s="69" t="inlineStr">
        <is>
          <t>Malmö office (12 partners) left for AGRD, Sep-2026</t>
        </is>
      </c>
      <c r="K93" s="69" t="inlineStr">
        <is>
          <t>Firm under pressure: Malmö office (12 partners) left for AGRD, Sep-2026; Likely pay cut vs current profit share: needs equity / upside story; Ranked in Corporate / M&amp;A &amp; Private equity</t>
        </is>
      </c>
    </row>
    <row r="94">
      <c r="A94" s="94" t="inlineStr">
        <is>
          <t>B</t>
        </is>
      </c>
      <c r="B94" s="94" t="n">
        <v>1</v>
      </c>
      <c r="C94" s="69" t="inlineStr">
        <is>
          <t>Mikael Magnusson</t>
        </is>
      </c>
      <c r="D94" s="69" t="inlineStr">
        <is>
          <t>Setterwalls</t>
        </is>
      </c>
      <c r="E94" s="69" t="inlineStr">
        <is>
          <t>Banking &amp; finance</t>
        </is>
      </c>
      <c r="F94" s="69" t="inlineStr">
        <is>
          <t>Banking &amp; finance: L500: Leading partners, CH: Band 2</t>
        </is>
      </c>
      <c r="G94" s="69" t="inlineStr">
        <is>
          <t>Partner. Banking and finance, Restructuring and insolvency</t>
        </is>
      </c>
      <c r="H94" s="94" t="n">
        <v>8</v>
      </c>
      <c r="I94" s="94" t="inlineStr">
        <is>
          <t>High</t>
        </is>
      </c>
      <c r="J94" s="69" t="inlineStr">
        <is>
          <t>Malmö office (12 partners) left for AGRD, Sep-2026</t>
        </is>
      </c>
      <c r="K94" s="69" t="inlineStr">
        <is>
          <t>Firm under pressure: Malmö office (12 partners) left for AGRD, Sep-2026; Likely pay cut vs current profit share: needs equity / upside story</t>
        </is>
      </c>
    </row>
    <row r="95">
      <c r="A95" s="94" t="inlineStr">
        <is>
          <t>B</t>
        </is>
      </c>
      <c r="B95" s="94" t="n">
        <v>1</v>
      </c>
      <c r="C95" s="69" t="inlineStr">
        <is>
          <t>Cecilia Möller Norsted</t>
        </is>
      </c>
      <c r="D95" s="69" t="inlineStr">
        <is>
          <t>Vinge</t>
        </is>
      </c>
      <c r="E95" s="69" t="inlineStr">
        <is>
          <t>Dispute resolution</t>
        </is>
      </c>
      <c r="F95" s="69" t="inlineStr">
        <is>
          <t>Dispute resolution: CH: Band 4</t>
        </is>
      </c>
      <c r="G95" s="69" t="n"/>
      <c r="H95" s="94" t="n">
        <v>1</v>
      </c>
      <c r="I95" s="94" t="inlineStr">
        <is>
          <t>High</t>
        </is>
      </c>
      <c r="J95" s="69" t="inlineStr">
        <is>
          <t>Profit pool ~SEK 7m/partner; individual-contribution model</t>
        </is>
      </c>
      <c r="K95" s="69" t="inlineStr">
        <is>
          <t>Mid-career / next-generation: room to lead and build a practice; Likely pay cut vs current profit share: needs equity / upside story</t>
        </is>
      </c>
    </row>
    <row r="96">
      <c r="A96" s="94" t="inlineStr">
        <is>
          <t>B</t>
        </is>
      </c>
      <c r="B96" s="94" t="n">
        <v>1</v>
      </c>
      <c r="C96" s="69" t="inlineStr">
        <is>
          <t>Fredrik Lundblom</t>
        </is>
      </c>
      <c r="D96" s="69" t="inlineStr">
        <is>
          <t>Vinge</t>
        </is>
      </c>
      <c r="E96" s="69" t="inlineStr">
        <is>
          <t>Dispute resolution</t>
        </is>
      </c>
      <c r="F96" s="69" t="inlineStr">
        <is>
          <t>Dispute resolution: CH: Band 4</t>
        </is>
      </c>
      <c r="G96" s="69" t="n"/>
      <c r="H96" s="94" t="n">
        <v>6</v>
      </c>
      <c r="I96" s="94" t="inlineStr">
        <is>
          <t>High</t>
        </is>
      </c>
      <c r="J96" s="69" t="inlineStr">
        <is>
          <t>Profit pool ~SEK 7m/partner; individual-contribution model</t>
        </is>
      </c>
      <c r="K96" s="69" t="inlineStr">
        <is>
          <t>Mid-career / next-generation: room to lead and build a practice; Likely pay cut vs current profit share: needs equity / upside story</t>
        </is>
      </c>
    </row>
    <row r="97">
      <c r="A97" s="94" t="inlineStr">
        <is>
          <t>B</t>
        </is>
      </c>
      <c r="B97" s="94" t="n">
        <v>1</v>
      </c>
      <c r="C97" s="69" t="inlineStr">
        <is>
          <t>Helena Göransson</t>
        </is>
      </c>
      <c r="D97" s="69" t="inlineStr">
        <is>
          <t>Vinge</t>
        </is>
      </c>
      <c r="E97" s="69" t="inlineStr">
        <is>
          <t>Banking &amp; finance</t>
        </is>
      </c>
      <c r="F97" s="69" t="inlineStr">
        <is>
          <t>Banking &amp; finance: CH: Up and Coming</t>
        </is>
      </c>
      <c r="G97" s="69" t="n"/>
      <c r="H97" s="94" t="n">
        <v>1</v>
      </c>
      <c r="I97" s="94" t="inlineStr">
        <is>
          <t>High</t>
        </is>
      </c>
      <c r="J97" s="69" t="inlineStr">
        <is>
          <t>Profit pool ~SEK 7m/partner; individual-contribution model</t>
        </is>
      </c>
      <c r="K97" s="69" t="inlineStr">
        <is>
          <t>Mid-career / next-generation: room to lead and build a practice; Likely pay cut vs current profit share: needs equity / upside story</t>
        </is>
      </c>
    </row>
    <row r="98">
      <c r="A98" s="94" t="inlineStr">
        <is>
          <t>B</t>
        </is>
      </c>
      <c r="B98" s="94" t="n">
        <v>1</v>
      </c>
      <c r="C98" s="69" t="inlineStr">
        <is>
          <t>Jerker Kjellander</t>
        </is>
      </c>
      <c r="D98" s="69" t="inlineStr">
        <is>
          <t>Vinge</t>
        </is>
      </c>
      <c r="E98" s="69" t="inlineStr">
        <is>
          <t>Dispute resolution</t>
        </is>
      </c>
      <c r="F98" s="69" t="inlineStr">
        <is>
          <t>Dispute resolution: CH: Band 4</t>
        </is>
      </c>
      <c r="G98" s="69" t="n"/>
      <c r="H98" s="94" t="n">
        <v>1</v>
      </c>
      <c r="I98" s="94" t="inlineStr">
        <is>
          <t>High</t>
        </is>
      </c>
      <c r="J98" s="69" t="inlineStr">
        <is>
          <t>Profit pool ~SEK 7m/partner; individual-contribution model</t>
        </is>
      </c>
      <c r="K98" s="69" t="inlineStr">
        <is>
          <t>Mid-career / next-generation: room to lead and build a practice; Likely pay cut vs current profit share: needs equity / upside story</t>
        </is>
      </c>
    </row>
    <row r="99">
      <c r="A99" s="94" t="inlineStr">
        <is>
          <t>B</t>
        </is>
      </c>
      <c r="B99" s="94" t="n">
        <v>1</v>
      </c>
      <c r="C99" s="69" t="inlineStr">
        <is>
          <t>Johanna Wiberg</t>
        </is>
      </c>
      <c r="D99" s="69" t="inlineStr">
        <is>
          <t>Vinge</t>
        </is>
      </c>
      <c r="E99" s="69" t="inlineStr">
        <is>
          <t>Private equity</t>
        </is>
      </c>
      <c r="F99" s="69" t="inlineStr">
        <is>
          <t>Private equity: CH: Up and Coming</t>
        </is>
      </c>
      <c r="G99" s="69" t="n"/>
      <c r="H99" s="94" t="n">
        <v>1</v>
      </c>
      <c r="I99" s="94" t="inlineStr">
        <is>
          <t>High</t>
        </is>
      </c>
      <c r="J99" s="69" t="inlineStr">
        <is>
          <t>Profit pool ~SEK 7m/partner; individual-contribution model</t>
        </is>
      </c>
      <c r="K99" s="69" t="inlineStr">
        <is>
          <t>Mid-career / next-generation: room to lead and build a practice; Likely pay cut vs current profit share: needs equity / upside story</t>
        </is>
      </c>
    </row>
    <row r="100">
      <c r="A100" s="94" t="inlineStr">
        <is>
          <t>B</t>
        </is>
      </c>
      <c r="B100" s="94" t="n">
        <v>1</v>
      </c>
      <c r="C100" s="69" t="inlineStr">
        <is>
          <t>Silvia Dahlberg</t>
        </is>
      </c>
      <c r="D100" s="69" t="inlineStr">
        <is>
          <t>Vinge</t>
        </is>
      </c>
      <c r="E100" s="69" t="inlineStr">
        <is>
          <t>Dispute resolution</t>
        </is>
      </c>
      <c r="F100" s="69" t="inlineStr">
        <is>
          <t>Dispute resolution: CH: Band 4</t>
        </is>
      </c>
      <c r="G100" s="69" t="n"/>
      <c r="H100" s="94" t="n">
        <v>3</v>
      </c>
      <c r="I100" s="94" t="inlineStr">
        <is>
          <t>High</t>
        </is>
      </c>
      <c r="J100" s="69" t="inlineStr">
        <is>
          <t>Profit pool ~SEK 7m/partner; individual-contribution model</t>
        </is>
      </c>
      <c r="K100" s="69" t="inlineStr">
        <is>
          <t>Mid-career / next-generation: room to lead and build a practice; Likely pay cut vs current profit share: needs equity / upside story</t>
        </is>
      </c>
    </row>
    <row r="101">
      <c r="A101" s="94" t="inlineStr">
        <is>
          <t>B</t>
        </is>
      </c>
      <c r="B101" s="94" t="n">
        <v>1</v>
      </c>
      <c r="C101" s="69" t="inlineStr">
        <is>
          <t>Jesper Tiberg</t>
        </is>
      </c>
      <c r="D101" s="69" t="inlineStr">
        <is>
          <t>Westerberg &amp; Partners</t>
        </is>
      </c>
      <c r="E101" s="69" t="inlineStr">
        <is>
          <t>Dispute resolution</t>
        </is>
      </c>
      <c r="F101" s="69" t="inlineStr">
        <is>
          <t>Dispute resolution: CH: Band 3</t>
        </is>
      </c>
      <c r="G101" s="69" t="n"/>
      <c r="H101" s="94" t="n">
        <v>18</v>
      </c>
      <c r="I101" s="94" t="inlineStr">
        <is>
          <t>Lower</t>
        </is>
      </c>
      <c r="J101" s="69" t="n"/>
      <c r="K101" s="69" t="inlineStr">
        <is>
          <t>Mid-career / next-generation: room to lead and build a practice</t>
        </is>
      </c>
    </row>
    <row r="102">
      <c r="A102" s="94" t="inlineStr">
        <is>
          <t>B</t>
        </is>
      </c>
      <c r="B102" s="94" t="n">
        <v>1</v>
      </c>
      <c r="C102" s="69" t="inlineStr">
        <is>
          <t>Maria Fogdestam Agius</t>
        </is>
      </c>
      <c r="D102" s="69" t="inlineStr">
        <is>
          <t>Westerberg &amp; Partners</t>
        </is>
      </c>
      <c r="E102" s="69" t="inlineStr">
        <is>
          <t>Dispute resolution</t>
        </is>
      </c>
      <c r="F102" s="69" t="inlineStr">
        <is>
          <t>Dispute resolution: L500: Leading partners</t>
        </is>
      </c>
      <c r="G102" s="69" t="n"/>
      <c r="H102" s="94" t="n"/>
      <c r="I102" s="94" t="inlineStr">
        <is>
          <t>Lower</t>
        </is>
      </c>
      <c r="J102" s="69" t="n"/>
      <c r="K102" s="69" t="n"/>
    </row>
    <row r="103">
      <c r="A103" s="94" t="inlineStr">
        <is>
          <t>B</t>
        </is>
      </c>
      <c r="B103" s="94" t="n">
        <v>1</v>
      </c>
      <c r="C103" s="69" t="inlineStr">
        <is>
          <t>Filippa Exelin</t>
        </is>
      </c>
      <c r="D103" s="69" t="inlineStr">
        <is>
          <t>White &amp; Case</t>
        </is>
      </c>
      <c r="E103" s="69" t="inlineStr">
        <is>
          <t>Dispute resolution</t>
        </is>
      </c>
      <c r="F103" s="69" t="inlineStr">
        <is>
          <t>Dispute resolution: L500: Next Generation Partners, CH: Up and Coming</t>
        </is>
      </c>
      <c r="G103" s="69" t="inlineStr">
        <is>
          <t>Partner</t>
        </is>
      </c>
      <c r="H103" s="94" t="n">
        <v>1</v>
      </c>
      <c r="I103" s="94" t="inlineStr">
        <is>
          <t>High</t>
        </is>
      </c>
      <c r="J103" s="69" t="inlineStr">
        <is>
          <t>Global LLP; ~SEK 69m revenue/partner</t>
        </is>
      </c>
      <c r="K103" s="69" t="inlineStr">
        <is>
          <t>Mid-career / next-generation: room to lead and build a practice; Likely pay cut vs current profit share: needs equity / upside story</t>
        </is>
      </c>
    </row>
    <row r="104">
      <c r="A104" s="94" t="inlineStr">
        <is>
          <t>B</t>
        </is>
      </c>
      <c r="B104" s="94" t="n">
        <v>1</v>
      </c>
      <c r="C104" s="69" t="inlineStr">
        <is>
          <t>Patrik Erblad</t>
        </is>
      </c>
      <c r="D104" s="69" t="inlineStr">
        <is>
          <t>White &amp; Case</t>
        </is>
      </c>
      <c r="E104" s="69" t="inlineStr">
        <is>
          <t>Private equity</t>
        </is>
      </c>
      <c r="F104" s="69" t="inlineStr">
        <is>
          <t>Private equity: CH: Band 4</t>
        </is>
      </c>
      <c r="G104" s="69" t="n"/>
      <c r="H104" s="94" t="n">
        <v>3</v>
      </c>
      <c r="I104" s="94" t="inlineStr">
        <is>
          <t>High</t>
        </is>
      </c>
      <c r="J104" s="69" t="inlineStr">
        <is>
          <t>Global LLP; ~SEK 69m revenue/partner</t>
        </is>
      </c>
      <c r="K104" s="69" t="inlineStr">
        <is>
          <t>Mid-career / next-generation: room to lead and build a practice; Likely pay cut vs current profit share: needs equity / upside story</t>
        </is>
      </c>
    </row>
    <row r="105">
      <c r="A105" s="122" t="inlineStr">
        <is>
          <t>C</t>
        </is>
      </c>
      <c r="B105" s="122" t="n">
        <v>0</v>
      </c>
      <c r="C105" s="123" t="inlineStr">
        <is>
          <t>Torgny Wetterberg</t>
        </is>
      </c>
      <c r="D105" s="123" t="inlineStr">
        <is>
          <t>A1 Advokater</t>
        </is>
      </c>
      <c r="E105" s="123" t="inlineStr">
        <is>
          <t>Dispute resolution</t>
        </is>
      </c>
      <c r="F105" s="123" t="inlineStr">
        <is>
          <t>Dispute resolution: CH: Band 2</t>
        </is>
      </c>
      <c r="G105" s="123" t="n"/>
      <c r="H105" s="122" t="n">
        <v>20</v>
      </c>
      <c r="I105" s="122" t="inlineStr">
        <is>
          <t>Lower</t>
        </is>
      </c>
      <c r="J105" s="123" t="n"/>
      <c r="K105" s="123" t="n"/>
    </row>
    <row r="106">
      <c r="A106" s="122" t="inlineStr">
        <is>
          <t>C</t>
        </is>
      </c>
      <c r="B106" s="122" t="n">
        <v>0</v>
      </c>
      <c r="C106" s="123" t="inlineStr">
        <is>
          <t>Joachim Funariu</t>
        </is>
      </c>
      <c r="D106" s="123" t="inlineStr">
        <is>
          <t>BAHR</t>
        </is>
      </c>
      <c r="E106" s="123" t="inlineStr">
        <is>
          <t>Corporate / M&amp;A</t>
        </is>
      </c>
      <c r="F106" s="123" t="inlineStr">
        <is>
          <t>Corporate / M&amp;A: CH: Up and Coming</t>
        </is>
      </c>
      <c r="G106" s="123" t="n"/>
      <c r="H106" s="122" t="n">
        <v>1</v>
      </c>
      <c r="I106" s="122" t="inlineStr">
        <is>
          <t>Medium</t>
        </is>
      </c>
      <c r="J106" s="123" t="inlineStr">
        <is>
          <t>New Stockholm office (2026); partners just moved</t>
        </is>
      </c>
      <c r="K106" s="123" t="inlineStr">
        <is>
          <t>Mid-career / next-generation: room to lead and build a practice; New Stockholm office (2026); partners just moved</t>
        </is>
      </c>
    </row>
    <row r="107">
      <c r="A107" s="122" t="inlineStr">
        <is>
          <t>C</t>
        </is>
      </c>
      <c r="B107" s="122" t="n">
        <v>0</v>
      </c>
      <c r="C107" s="123" t="inlineStr">
        <is>
          <t>Robert Kullgren</t>
        </is>
      </c>
      <c r="D107" s="123" t="inlineStr">
        <is>
          <t>CMS Wistrand</t>
        </is>
      </c>
      <c r="E107" s="123" t="inlineStr">
        <is>
          <t>Corporate / M&amp;A</t>
        </is>
      </c>
      <c r="F107" s="123" t="inlineStr">
        <is>
          <t>Corporate / M&amp;A: CH: Band 4</t>
        </is>
      </c>
      <c r="G107" s="123" t="n"/>
      <c r="H107" s="122" t="n">
        <v>18</v>
      </c>
      <c r="I107" s="122" t="inlineStr">
        <is>
          <t>Medium</t>
        </is>
      </c>
      <c r="J107" s="123" t="inlineStr">
        <is>
          <t>Joined CMS network 2024</t>
        </is>
      </c>
      <c r="K107" s="123" t="inlineStr">
        <is>
          <t>Mid-career / next-generation: room to lead and build a practice</t>
        </is>
      </c>
    </row>
    <row r="108">
      <c r="A108" s="122" t="inlineStr">
        <is>
          <t>C</t>
        </is>
      </c>
      <c r="B108" s="122" t="n">
        <v>0</v>
      </c>
      <c r="C108" s="123" t="inlineStr">
        <is>
          <t>Peter Lilja</t>
        </is>
      </c>
      <c r="D108" s="123" t="inlineStr">
        <is>
          <t>Cirio</t>
        </is>
      </c>
      <c r="E108" s="123" t="inlineStr">
        <is>
          <t>Corporate / M&amp;A</t>
        </is>
      </c>
      <c r="F108" s="123" t="inlineStr">
        <is>
          <t>Corporate / M&amp;A: CH: Band 3</t>
        </is>
      </c>
      <c r="G108" s="123" t="n"/>
      <c r="H108" s="122" t="n">
        <v>15</v>
      </c>
      <c r="I108" s="122" t="inlineStr">
        <is>
          <t>Medium</t>
        </is>
      </c>
      <c r="J108" s="123" t="inlineStr">
        <is>
          <t>Growing (+15% 2025); net partner gainer</t>
        </is>
      </c>
      <c r="K108" s="123" t="inlineStr">
        <is>
          <t>Mid-career / next-generation: room to lead and build a practice</t>
        </is>
      </c>
    </row>
    <row r="109">
      <c r="A109" s="122" t="inlineStr">
        <is>
          <t>C</t>
        </is>
      </c>
      <c r="B109" s="122" t="n">
        <v>0</v>
      </c>
      <c r="C109" s="123" t="inlineStr">
        <is>
          <t>Björn Sjöberg</t>
        </is>
      </c>
      <c r="D109" s="123" t="inlineStr">
        <is>
          <t>DLA Piper</t>
        </is>
      </c>
      <c r="E109" s="123" t="inlineStr">
        <is>
          <t>Banking &amp; finance</t>
        </is>
      </c>
      <c r="F109" s="123" t="inlineStr">
        <is>
          <t>Banking &amp; finance: CH: Band 4</t>
        </is>
      </c>
      <c r="G109" s="123" t="n"/>
      <c r="H109" s="122" t="n">
        <v>18</v>
      </c>
      <c r="I109" s="122" t="inlineStr">
        <is>
          <t>Medium</t>
        </is>
      </c>
      <c r="J109" s="123" t="inlineStr">
        <is>
          <t>Revenue -9% FY24/25; net partner gainer</t>
        </is>
      </c>
      <c r="K109" s="123" t="inlineStr">
        <is>
          <t>Mid-career / next-generation: room to lead and build a practice</t>
        </is>
      </c>
    </row>
    <row r="110">
      <c r="A110" s="122" t="inlineStr">
        <is>
          <t>C</t>
        </is>
      </c>
      <c r="B110" s="122" t="n">
        <v>0</v>
      </c>
      <c r="C110" s="123" t="inlineStr">
        <is>
          <t>Björn Svensson</t>
        </is>
      </c>
      <c r="D110" s="123" t="inlineStr">
        <is>
          <t>Gernandt &amp; Danielsson</t>
        </is>
      </c>
      <c r="E110" s="123" t="inlineStr">
        <is>
          <t>Banking &amp; finance</t>
        </is>
      </c>
      <c r="F110" s="123" t="inlineStr">
        <is>
          <t>Banking &amp; finance: L500: Leading partners, CH: Band 4</t>
        </is>
      </c>
      <c r="G110" s="123" t="inlineStr">
        <is>
          <t>Partner</t>
        </is>
      </c>
      <c r="H110" s="122" t="n">
        <v>4</v>
      </c>
      <c r="I110" s="122" t="inlineStr">
        <is>
          <t>High</t>
        </is>
      </c>
      <c r="J110" s="123" t="inlineStr">
        <is>
          <t>Net partner gainer (team lifts 2024-26)</t>
        </is>
      </c>
      <c r="K110" s="123" t="inlineStr">
        <is>
          <t>Likely pay cut vs current profit share: needs equity / upside story</t>
        </is>
      </c>
    </row>
    <row r="111">
      <c r="A111" s="122" t="inlineStr">
        <is>
          <t>C</t>
        </is>
      </c>
      <c r="B111" s="122" t="n">
        <v>0</v>
      </c>
      <c r="C111" s="123" t="inlineStr">
        <is>
          <t>Corinne Ekman</t>
        </is>
      </c>
      <c r="D111" s="123" t="inlineStr">
        <is>
          <t>Gernandt &amp; Danielsson</t>
        </is>
      </c>
      <c r="E111" s="123" t="inlineStr">
        <is>
          <t>Corporate / M&amp;A</t>
        </is>
      </c>
      <c r="F111" s="123" t="inlineStr">
        <is>
          <t>Corporate / M&amp;A: L500: Leading partners, CH: Band 4</t>
        </is>
      </c>
      <c r="G111" s="123" t="inlineStr">
        <is>
          <t>Partner</t>
        </is>
      </c>
      <c r="H111" s="122" t="n">
        <v>4</v>
      </c>
      <c r="I111" s="122" t="inlineStr">
        <is>
          <t>High</t>
        </is>
      </c>
      <c r="J111" s="123" t="inlineStr">
        <is>
          <t>Net partner gainer (team lifts 2024-26)</t>
        </is>
      </c>
      <c r="K111" s="123" t="inlineStr">
        <is>
          <t>Likely pay cut vs current profit share: needs equity / upside story</t>
        </is>
      </c>
    </row>
    <row r="112">
      <c r="A112" s="122" t="inlineStr">
        <is>
          <t>C</t>
        </is>
      </c>
      <c r="B112" s="122" t="n">
        <v>0</v>
      </c>
      <c r="C112" s="123" t="inlineStr">
        <is>
          <t>Daniel Waerme</t>
        </is>
      </c>
      <c r="D112" s="123" t="inlineStr">
        <is>
          <t>Gernandt &amp; Danielsson</t>
        </is>
      </c>
      <c r="E112" s="123" t="inlineStr">
        <is>
          <t>Dispute resolution</t>
        </is>
      </c>
      <c r="F112" s="123" t="inlineStr">
        <is>
          <t>Dispute resolution: L500: Leading partners, CH: Band 3</t>
        </is>
      </c>
      <c r="G112" s="123" t="inlineStr">
        <is>
          <t>Partner</t>
        </is>
      </c>
      <c r="H112" s="122" t="n">
        <v>4</v>
      </c>
      <c r="I112" s="122" t="inlineStr">
        <is>
          <t>High</t>
        </is>
      </c>
      <c r="J112" s="123" t="inlineStr">
        <is>
          <t>Net partner gainer (team lifts 2024-26)</t>
        </is>
      </c>
      <c r="K112" s="123" t="inlineStr">
        <is>
          <t>Likely pay cut vs current profit share: needs equity / upside story</t>
        </is>
      </c>
    </row>
    <row r="113">
      <c r="A113" s="122" t="inlineStr">
        <is>
          <t>C</t>
        </is>
      </c>
      <c r="B113" s="122" t="n">
        <v>0</v>
      </c>
      <c r="C113" s="123" t="inlineStr">
        <is>
          <t>Sofie Viktorsson</t>
        </is>
      </c>
      <c r="D113" s="123" t="inlineStr">
        <is>
          <t>Gernandt &amp; Danielsson</t>
        </is>
      </c>
      <c r="E113" s="123" t="inlineStr">
        <is>
          <t>Banking &amp; finance</t>
        </is>
      </c>
      <c r="F113" s="123" t="inlineStr">
        <is>
          <t>Banking &amp; finance: L500: Leading partners, CH: Band 4</t>
        </is>
      </c>
      <c r="G113" s="123" t="inlineStr">
        <is>
          <t>Partner</t>
        </is>
      </c>
      <c r="H113" s="122" t="n">
        <v>3</v>
      </c>
      <c r="I113" s="122" t="inlineStr">
        <is>
          <t>High</t>
        </is>
      </c>
      <c r="J113" s="123" t="inlineStr">
        <is>
          <t>Net partner gainer (team lifts 2024-26)</t>
        </is>
      </c>
      <c r="K113" s="123" t="inlineStr">
        <is>
          <t>Likely pay cut vs current profit share: needs equity / upside story</t>
        </is>
      </c>
    </row>
    <row r="114">
      <c r="A114" s="122" t="inlineStr">
        <is>
          <t>C</t>
        </is>
      </c>
      <c r="B114" s="122" t="n">
        <v>0</v>
      </c>
      <c r="C114" s="123" t="inlineStr">
        <is>
          <t>Mattias Anjou</t>
        </is>
      </c>
      <c r="D114" s="123" t="inlineStr">
        <is>
          <t>Hammarskiöld</t>
        </is>
      </c>
      <c r="E114" s="123" t="inlineStr">
        <is>
          <t>Banking &amp; finance</t>
        </is>
      </c>
      <c r="F114" s="123" t="inlineStr">
        <is>
          <t>Banking &amp; finance: L500: Leading partners</t>
        </is>
      </c>
      <c r="G114" s="123" t="inlineStr">
        <is>
          <t>Partner</t>
        </is>
      </c>
      <c r="H114" s="122" t="n">
        <v>9</v>
      </c>
      <c r="I114" s="122" t="inlineStr">
        <is>
          <t>Medium</t>
        </is>
      </c>
      <c r="J114" s="123" t="n"/>
      <c r="K114" s="123" t="n"/>
    </row>
    <row r="115">
      <c r="A115" s="122" t="inlineStr">
        <is>
          <t>C</t>
        </is>
      </c>
      <c r="B115" s="122" t="n">
        <v>0</v>
      </c>
      <c r="C115" s="123" t="inlineStr">
        <is>
          <t>Magnus Eriksson</t>
        </is>
      </c>
      <c r="D115" s="123" t="inlineStr">
        <is>
          <t>Kastell</t>
        </is>
      </c>
      <c r="E115" s="123" t="inlineStr">
        <is>
          <t>Dispute resolution</t>
        </is>
      </c>
      <c r="F115" s="123" t="inlineStr">
        <is>
          <t>Dispute resolution: CH: Band 2</t>
        </is>
      </c>
      <c r="G115" s="123" t="n"/>
      <c r="H115" s="122" t="n">
        <v>18</v>
      </c>
      <c r="I115" s="122" t="inlineStr">
        <is>
          <t>Lower</t>
        </is>
      </c>
      <c r="J115" s="123" t="n"/>
      <c r="K115" s="123" t="n"/>
    </row>
    <row r="116">
      <c r="A116" s="122" t="inlineStr">
        <is>
          <t>C</t>
        </is>
      </c>
      <c r="B116" s="122" t="n">
        <v>0</v>
      </c>
      <c r="C116" s="123" t="inlineStr">
        <is>
          <t>Erika Finn</t>
        </is>
      </c>
      <c r="D116" s="123" t="inlineStr">
        <is>
          <t>Kilpatrick Townsend &amp; Stockton Advokat KB</t>
        </is>
      </c>
      <c r="E116" s="123" t="inlineStr">
        <is>
          <t>Dispute resolution</t>
        </is>
      </c>
      <c r="F116" s="123" t="inlineStr">
        <is>
          <t>Dispute resolution: L500: Leading partners</t>
        </is>
      </c>
      <c r="G116" s="123" t="inlineStr">
        <is>
          <t>Advokat, Partner</t>
        </is>
      </c>
      <c r="H116" s="122" t="n"/>
      <c r="I116" s="122" t="inlineStr">
        <is>
          <t>Medium</t>
        </is>
      </c>
      <c r="J116" s="123" t="n"/>
      <c r="K116" s="123" t="n"/>
    </row>
    <row r="117">
      <c r="A117" s="122" t="inlineStr">
        <is>
          <t>C</t>
        </is>
      </c>
      <c r="B117" s="122" t="n">
        <v>0</v>
      </c>
      <c r="C117" s="123" t="inlineStr">
        <is>
          <t>Magnus Wennerhorn</t>
        </is>
      </c>
      <c r="D117" s="123" t="inlineStr">
        <is>
          <t>Linklaters</t>
        </is>
      </c>
      <c r="E117" s="123" t="inlineStr">
        <is>
          <t>Banking &amp; finance</t>
        </is>
      </c>
      <c r="F117" s="123" t="inlineStr">
        <is>
          <t>Banking &amp; finance: L500: Hall of Fame, CH: Band 2</t>
        </is>
      </c>
      <c r="G117" s="123" t="n"/>
      <c r="H117" s="122" t="n">
        <v>18</v>
      </c>
      <c r="I117" s="122" t="inlineStr">
        <is>
          <t>High</t>
        </is>
      </c>
      <c r="J117" s="123" t="inlineStr">
        <is>
          <t>No new partners for 3 years; Stockholm staff down from 88 to 75</t>
        </is>
      </c>
      <c r="K117" s="123" t="inlineStr">
        <is>
          <t>Firm under pressure: No new partners for 3 years; Stockholm staff down from 88 to 75; Senior market leader: hard to move; possible senior adviser / team anchor; Likely pay cut vs current profit share: needs equity / upside story; Has moved firm before (2020-24)</t>
        </is>
      </c>
    </row>
    <row r="118">
      <c r="A118" s="122" t="inlineStr">
        <is>
          <t>C</t>
        </is>
      </c>
      <c r="B118" s="122" t="n">
        <v>0</v>
      </c>
      <c r="C118" s="123" t="inlineStr">
        <is>
          <t>Isabella Ramsay</t>
        </is>
      </c>
      <c r="D118" s="123" t="inlineStr">
        <is>
          <t>Mannheimer Swartling</t>
        </is>
      </c>
      <c r="E118" s="123" t="inlineStr">
        <is>
          <t>Corporate / M&amp;A; Private equity</t>
        </is>
      </c>
      <c r="F118" s="123" t="inlineStr">
        <is>
          <t>Corporate / M&amp;A: CH: Band 3 | Private equity: CH: Band 3</t>
        </is>
      </c>
      <c r="G118" s="123" t="n"/>
      <c r="H118" s="122" t="n">
        <v>10</v>
      </c>
      <c r="I118" s="122" t="inlineStr">
        <is>
          <t>High</t>
        </is>
      </c>
      <c r="J118" s="123" t="inlineStr">
        <is>
          <t>Lockstep: profit pool ~SEK 8.7m/partner; 2 partner exits since 2024</t>
        </is>
      </c>
      <c r="K118" s="123" t="inlineStr">
        <is>
          <t>Mid-career / next-generation: room to lead and build a practice; Likely pay cut vs current profit share: needs equity / upside story; Ranked in Corporate / M&amp;A &amp; Private equity</t>
        </is>
      </c>
    </row>
    <row r="119">
      <c r="A119" s="122" t="inlineStr">
        <is>
          <t>C</t>
        </is>
      </c>
      <c r="B119" s="122" t="n">
        <v>0</v>
      </c>
      <c r="C119" s="123" t="inlineStr">
        <is>
          <t>Mattias Göransson Rondin</t>
        </is>
      </c>
      <c r="D119" s="123" t="inlineStr">
        <is>
          <t>Mannheimer Swartling</t>
        </is>
      </c>
      <c r="E119" s="123" t="inlineStr">
        <is>
          <t>Dispute resolution</t>
        </is>
      </c>
      <c r="F119" s="123" t="inlineStr">
        <is>
          <t>Dispute resolution: CH: Band 3</t>
        </is>
      </c>
      <c r="G119" s="123" t="n"/>
      <c r="H119" s="122" t="n">
        <v>12</v>
      </c>
      <c r="I119" s="122" t="inlineStr">
        <is>
          <t>High</t>
        </is>
      </c>
      <c r="J119" s="123" t="inlineStr">
        <is>
          <t>Lockstep: profit pool ~SEK 8.7m/partner; 2 partner exits since 2024</t>
        </is>
      </c>
      <c r="K119" s="123" t="inlineStr">
        <is>
          <t>Mid-career / next-generation: room to lead and build a practice; Likely pay cut vs current profit share: needs equity / upside story</t>
        </is>
      </c>
    </row>
    <row r="120">
      <c r="A120" s="122" t="inlineStr">
        <is>
          <t>C</t>
        </is>
      </c>
      <c r="B120" s="122" t="n">
        <v>0</v>
      </c>
      <c r="C120" s="123" t="inlineStr">
        <is>
          <t>Johan Lundberg</t>
        </is>
      </c>
      <c r="D120" s="123" t="inlineStr">
        <is>
          <t>RE:FI STHLM</t>
        </is>
      </c>
      <c r="E120" s="123" t="inlineStr">
        <is>
          <t>Banking &amp; finance</t>
        </is>
      </c>
      <c r="F120" s="123" t="inlineStr">
        <is>
          <t>Banking &amp; finance: CH: Band 1</t>
        </is>
      </c>
      <c r="G120" s="123" t="n"/>
      <c r="H120" s="122" t="n">
        <v>20</v>
      </c>
      <c r="I120" s="122" t="inlineStr">
        <is>
          <t>Lower</t>
        </is>
      </c>
      <c r="J120" s="123" t="inlineStr">
        <is>
          <t>Boutique founded 2024 (ex-Cederquist)</t>
        </is>
      </c>
      <c r="K120" s="123" t="inlineStr">
        <is>
          <t>Senior market leader: hard to move; possible senior adviser / team anchor; Has moved firm before (2020-24)</t>
        </is>
      </c>
    </row>
    <row r="121">
      <c r="A121" s="122" t="inlineStr">
        <is>
          <t>C</t>
        </is>
      </c>
      <c r="B121" s="122" t="n">
        <v>0</v>
      </c>
      <c r="C121" s="123" t="inlineStr">
        <is>
          <t>Pontus Enquist</t>
        </is>
      </c>
      <c r="D121" s="123" t="inlineStr">
        <is>
          <t>Roschier</t>
        </is>
      </c>
      <c r="E121" s="123" t="inlineStr">
        <is>
          <t>Corporate / M&amp;A</t>
        </is>
      </c>
      <c r="F121" s="123" t="inlineStr">
        <is>
          <t>Corporate / M&amp;A: CH: Band 4</t>
        </is>
      </c>
      <c r="G121" s="123" t="inlineStr">
        <is>
          <t>Department head</t>
        </is>
      </c>
      <c r="H121" s="122" t="n">
        <v>16</v>
      </c>
      <c r="I121" s="122" t="inlineStr">
        <is>
          <t>High</t>
        </is>
      </c>
      <c r="J121" s="123" t="inlineStr">
        <is>
          <t>3 partner exits 2020-26</t>
        </is>
      </c>
      <c r="K121" s="123" t="inlineStr">
        <is>
          <t>3 partner exits 2020-26; Mid-career / next-generation: room to lead and build a practice; Likely pay cut vs current profit share: needs equity / upside story</t>
        </is>
      </c>
    </row>
    <row r="122">
      <c r="A122" s="122" t="inlineStr">
        <is>
          <t>C</t>
        </is>
      </c>
      <c r="B122" s="122" t="n">
        <v>0</v>
      </c>
      <c r="C122" s="123" t="inlineStr">
        <is>
          <t>Johan Hallén</t>
        </is>
      </c>
      <c r="D122" s="123" t="inlineStr">
        <is>
          <t>Setterwalls</t>
        </is>
      </c>
      <c r="E122" s="123" t="inlineStr">
        <is>
          <t>Corporate / M&amp;A</t>
        </is>
      </c>
      <c r="F122" s="123" t="inlineStr">
        <is>
          <t>Corporate / M&amp;A: L500: Hall of Fame</t>
        </is>
      </c>
      <c r="G122" s="123" t="n"/>
      <c r="H122" s="122" t="n"/>
      <c r="I122" s="122" t="inlineStr">
        <is>
          <t>High</t>
        </is>
      </c>
      <c r="J122" s="123" t="inlineStr">
        <is>
          <t>Malmö office (12 partners) left for AGRD, Sep-2026</t>
        </is>
      </c>
      <c r="K122" s="123" t="inlineStr">
        <is>
          <t>Firm under pressure: Malmö office (12 partners) left for AGRD, Sep-2026; Senior market leader: hard to move; possible senior adviser / team anchor; Likely pay cut vs current profit share: needs equity / upside story</t>
        </is>
      </c>
    </row>
    <row r="123">
      <c r="A123" s="122" t="inlineStr">
        <is>
          <t>C</t>
        </is>
      </c>
      <c r="B123" s="122" t="n">
        <v>0</v>
      </c>
      <c r="C123" s="123" t="inlineStr">
        <is>
          <t>Fredrik Olsson</t>
        </is>
      </c>
      <c r="D123" s="123" t="inlineStr">
        <is>
          <t>Snellman</t>
        </is>
      </c>
      <c r="E123" s="123" t="inlineStr">
        <is>
          <t>Banking &amp; finance</t>
        </is>
      </c>
      <c r="F123" s="123" t="inlineStr">
        <is>
          <t>Banking &amp; finance: L500: Hall of Fame, CH: Band 4</t>
        </is>
      </c>
      <c r="G123" s="123" t="inlineStr">
        <is>
          <t>Managing Partner</t>
        </is>
      </c>
      <c r="H123" s="122" t="n">
        <v>17</v>
      </c>
      <c r="I123" s="122" t="inlineStr">
        <is>
          <t>Medium</t>
        </is>
      </c>
      <c r="J123" s="123" t="inlineStr">
        <is>
          <t>Separated from Hannes Snellman (2024); ~5 partner exits since 2024 incl. heads of competition and disputes</t>
        </is>
      </c>
      <c r="K123" s="123" t="inlineStr">
        <is>
          <t>Firm under pressure: Separated from Hannes Snellman (2024); ~5 partner exits since 2024 incl. heads of competition and disputes; Senior market leader: hard to move; possible senior adviser / team anchor</t>
        </is>
      </c>
    </row>
    <row r="124">
      <c r="A124" s="122" t="inlineStr">
        <is>
          <t>C</t>
        </is>
      </c>
      <c r="B124" s="122" t="n">
        <v>0</v>
      </c>
      <c r="C124" s="123" t="inlineStr">
        <is>
          <t>Peter Danowsky</t>
        </is>
      </c>
      <c r="D124" s="123" t="inlineStr">
        <is>
          <t>TIME DANOWSKY Advokatbyrå AB</t>
        </is>
      </c>
      <c r="E124" s="123" t="inlineStr">
        <is>
          <t>Dispute resolution</t>
        </is>
      </c>
      <c r="F124" s="123" t="inlineStr">
        <is>
          <t>Dispute resolution: CH: Senior Statespeople</t>
        </is>
      </c>
      <c r="G124" s="123" t="n"/>
      <c r="H124" s="122" t="n">
        <v>0</v>
      </c>
      <c r="I124" s="122" t="inlineStr">
        <is>
          <t>Lower</t>
        </is>
      </c>
      <c r="J124" s="123" t="n"/>
      <c r="K124" s="123" t="inlineStr">
        <is>
          <t>Senior market leader: hard to move; possible senior adviser / team anchor</t>
        </is>
      </c>
    </row>
    <row r="125">
      <c r="A125" s="122" t="inlineStr">
        <is>
          <t>C</t>
        </is>
      </c>
      <c r="B125" s="122" t="n">
        <v>0</v>
      </c>
      <c r="C125" s="123" t="inlineStr">
        <is>
          <t>Albert Wållgren</t>
        </is>
      </c>
      <c r="D125" s="123" t="inlineStr">
        <is>
          <t>Vinge</t>
        </is>
      </c>
      <c r="E125" s="123" t="inlineStr">
        <is>
          <t>Banking &amp; finance</t>
        </is>
      </c>
      <c r="F125" s="123" t="inlineStr">
        <is>
          <t>Banking &amp; finance: CH: Band 3</t>
        </is>
      </c>
      <c r="G125" s="123" t="n"/>
      <c r="H125" s="122" t="n">
        <v>8</v>
      </c>
      <c r="I125" s="122" t="inlineStr">
        <is>
          <t>High</t>
        </is>
      </c>
      <c r="J125" s="123" t="inlineStr">
        <is>
          <t>Profit pool ~SEK 7m/partner; individual-contribution model</t>
        </is>
      </c>
      <c r="K125" s="123" t="inlineStr">
        <is>
          <t>Mid-career / next-generation: room to lead and build a practice; Likely pay cut vs current profit share: needs equity / upside story</t>
        </is>
      </c>
    </row>
    <row r="126">
      <c r="A126" s="122" t="inlineStr">
        <is>
          <t>C</t>
        </is>
      </c>
      <c r="B126" s="122" t="n">
        <v>0</v>
      </c>
      <c r="C126" s="123" t="inlineStr">
        <is>
          <t>Henrik Ossborn</t>
        </is>
      </c>
      <c r="D126" s="123" t="inlineStr">
        <is>
          <t>Vinge</t>
        </is>
      </c>
      <c r="E126" s="123" t="inlineStr">
        <is>
          <t>Banking &amp; finance</t>
        </is>
      </c>
      <c r="F126" s="123" t="inlineStr">
        <is>
          <t>Banking &amp; finance: CH: Band 4</t>
        </is>
      </c>
      <c r="G126" s="123" t="n"/>
      <c r="H126" s="122" t="n">
        <v>8</v>
      </c>
      <c r="I126" s="122" t="inlineStr">
        <is>
          <t>High</t>
        </is>
      </c>
      <c r="J126" s="123" t="inlineStr">
        <is>
          <t>Profit pool ~SEK 7m/partner; individual-contribution model</t>
        </is>
      </c>
      <c r="K126" s="123" t="inlineStr">
        <is>
          <t>Mid-career / next-generation: room to lead and build a practice; Likely pay cut vs current profit share: needs equity / upside story</t>
        </is>
      </c>
    </row>
    <row r="127">
      <c r="A127" s="122" t="inlineStr">
        <is>
          <t>C</t>
        </is>
      </c>
      <c r="B127" s="122" t="n">
        <v>0</v>
      </c>
      <c r="C127" s="123" t="inlineStr">
        <is>
          <t>Jesper Schönbeck</t>
        </is>
      </c>
      <c r="D127" s="123" t="inlineStr">
        <is>
          <t>Vinge</t>
        </is>
      </c>
      <c r="E127" s="123" t="inlineStr">
        <is>
          <t>Corporate / M&amp;A</t>
        </is>
      </c>
      <c r="F127" s="123" t="inlineStr">
        <is>
          <t>Corporate / M&amp;A: CH: Band 5</t>
        </is>
      </c>
      <c r="G127" s="123" t="n"/>
      <c r="H127" s="122" t="n">
        <v>10</v>
      </c>
      <c r="I127" s="122" t="inlineStr">
        <is>
          <t>High</t>
        </is>
      </c>
      <c r="J127" s="123" t="inlineStr">
        <is>
          <t>Profit pool ~SEK 7m/partner; individual-contribution model</t>
        </is>
      </c>
      <c r="K127" s="123" t="inlineStr">
        <is>
          <t>Mid-career / next-generation: room to lead and build a practice; Likely pay cut vs current profit share: needs equity / upside story</t>
        </is>
      </c>
    </row>
    <row r="128">
      <c r="A128" s="122" t="inlineStr">
        <is>
          <t>C</t>
        </is>
      </c>
      <c r="B128" s="122" t="n">
        <v>0</v>
      </c>
      <c r="C128" s="123" t="inlineStr">
        <is>
          <t>Johan Larsson</t>
        </is>
      </c>
      <c r="D128" s="123" t="inlineStr">
        <is>
          <t>Vinge</t>
        </is>
      </c>
      <c r="E128" s="123" t="inlineStr">
        <is>
          <t>Private equity</t>
        </is>
      </c>
      <c r="F128" s="123" t="inlineStr">
        <is>
          <t>Private equity: CH: Band 4</t>
        </is>
      </c>
      <c r="G128" s="123" t="n"/>
      <c r="H128" s="122" t="n">
        <v>10</v>
      </c>
      <c r="I128" s="122" t="inlineStr">
        <is>
          <t>High</t>
        </is>
      </c>
      <c r="J128" s="123" t="inlineStr">
        <is>
          <t>Profit pool ~SEK 7m/partner; individual-contribution model</t>
        </is>
      </c>
      <c r="K128" s="123" t="inlineStr">
        <is>
          <t>Mid-career / next-generation: room to lead and build a practice; Likely pay cut vs current profit share: needs equity / upside story</t>
        </is>
      </c>
    </row>
    <row r="129">
      <c r="A129" s="122" t="inlineStr">
        <is>
          <t>C</t>
        </is>
      </c>
      <c r="B129" s="122" t="n">
        <v>0</v>
      </c>
      <c r="C129" s="123" t="inlineStr">
        <is>
          <t>Jonas Eklund</t>
        </is>
      </c>
      <c r="D129" s="123" t="inlineStr">
        <is>
          <t>Vinge</t>
        </is>
      </c>
      <c r="E129" s="123" t="inlineStr">
        <is>
          <t>Dispute resolution</t>
        </is>
      </c>
      <c r="F129" s="123" t="inlineStr">
        <is>
          <t>Dispute resolution: CH: Band 3</t>
        </is>
      </c>
      <c r="G129" s="123" t="n"/>
      <c r="H129" s="122" t="n">
        <v>13</v>
      </c>
      <c r="I129" s="122" t="inlineStr">
        <is>
          <t>High</t>
        </is>
      </c>
      <c r="J129" s="123" t="inlineStr">
        <is>
          <t>Profit pool ~SEK 7m/partner; individual-contribution model</t>
        </is>
      </c>
      <c r="K129" s="123" t="inlineStr">
        <is>
          <t>Mid-career / next-generation: room to lead and build a practice; Likely pay cut vs current profit share: needs equity / upside story</t>
        </is>
      </c>
    </row>
    <row r="130">
      <c r="A130" s="122" t="inlineStr">
        <is>
          <t>C</t>
        </is>
      </c>
      <c r="B130" s="122" t="n">
        <v>0</v>
      </c>
      <c r="C130" s="123" t="inlineStr">
        <is>
          <t>Jonas Johansson</t>
        </is>
      </c>
      <c r="D130" s="123" t="inlineStr">
        <is>
          <t>Vinge</t>
        </is>
      </c>
      <c r="E130" s="123" t="inlineStr">
        <is>
          <t>Corporate / M&amp;A; Private equity</t>
        </is>
      </c>
      <c r="F130" s="123" t="inlineStr">
        <is>
          <t>Corporate / M&amp;A: CH: Band 3 | Private equity: CH: Band 3</t>
        </is>
      </c>
      <c r="G130" s="123" t="n"/>
      <c r="H130" s="122" t="n">
        <v>9</v>
      </c>
      <c r="I130" s="122" t="inlineStr">
        <is>
          <t>High</t>
        </is>
      </c>
      <c r="J130" s="123" t="inlineStr">
        <is>
          <t>Profit pool ~SEK 7m/partner; individual-contribution model</t>
        </is>
      </c>
      <c r="K130" s="123" t="inlineStr">
        <is>
          <t>Mid-career / next-generation: room to lead and build a practice; Likely pay cut vs current profit share: needs equity / upside story; Ranked in Corporate / M&amp;A &amp; Private equity</t>
        </is>
      </c>
    </row>
    <row r="131">
      <c r="A131" s="122" t="inlineStr">
        <is>
          <t>C</t>
        </is>
      </c>
      <c r="B131" s="122" t="n">
        <v>0</v>
      </c>
      <c r="C131" s="123" t="inlineStr">
        <is>
          <t>Therese Isaksson</t>
        </is>
      </c>
      <c r="D131" s="123" t="inlineStr">
        <is>
          <t>Westerberg &amp; Partners</t>
        </is>
      </c>
      <c r="E131" s="123" t="inlineStr">
        <is>
          <t>Dispute resolution</t>
        </is>
      </c>
      <c r="F131" s="123" t="inlineStr">
        <is>
          <t>Dispute resolution: L500: Leading partners, CH: Band 4</t>
        </is>
      </c>
      <c r="G131" s="123" t="inlineStr">
        <is>
          <t>Department head</t>
        </is>
      </c>
      <c r="H131" s="122" t="n">
        <v>17</v>
      </c>
      <c r="I131" s="122" t="inlineStr">
        <is>
          <t>Lower</t>
        </is>
      </c>
      <c r="J131" s="123" t="n"/>
      <c r="K131" s="123" t="n"/>
    </row>
    <row r="132">
      <c r="A132" s="122" t="inlineStr">
        <is>
          <t>C</t>
        </is>
      </c>
      <c r="B132" s="122" t="n">
        <v>0</v>
      </c>
      <c r="C132" s="123" t="inlineStr">
        <is>
          <t>Johan Steen</t>
        </is>
      </c>
      <c r="D132" s="123" t="inlineStr">
        <is>
          <t>White &amp; Case</t>
        </is>
      </c>
      <c r="E132" s="123" t="inlineStr">
        <is>
          <t>Corporate / M&amp;A; Private equity</t>
        </is>
      </c>
      <c r="F132" s="123" t="inlineStr">
        <is>
          <t>Corporate / M&amp;A: L500: Leading partners | Private equity: CH: Band 3</t>
        </is>
      </c>
      <c r="G132" s="123" t="inlineStr">
        <is>
          <t>Partner</t>
        </is>
      </c>
      <c r="H132" s="122" t="n">
        <v>6</v>
      </c>
      <c r="I132" s="122" t="inlineStr">
        <is>
          <t>High</t>
        </is>
      </c>
      <c r="J132" s="123" t="inlineStr">
        <is>
          <t>Global LLP; ~SEK 69m revenue/partner</t>
        </is>
      </c>
      <c r="K132" s="123" t="inlineStr">
        <is>
          <t>Likely pay cut vs current profit share: needs equity / upside story; Ranked in Corporate / M&amp;A &amp; Private equity</t>
        </is>
      </c>
    </row>
    <row r="133">
      <c r="A133" s="122" t="inlineStr">
        <is>
          <t>C</t>
        </is>
      </c>
      <c r="B133" s="122" t="n">
        <v>0</v>
      </c>
      <c r="C133" s="123" t="inlineStr">
        <is>
          <t>Shoan Panahi</t>
        </is>
      </c>
      <c r="D133" s="123" t="inlineStr">
        <is>
          <t>White &amp; Case</t>
        </is>
      </c>
      <c r="E133" s="123" t="inlineStr">
        <is>
          <t>Private equity</t>
        </is>
      </c>
      <c r="F133" s="123" t="inlineStr">
        <is>
          <t>Private equity: CH: Band 3</t>
        </is>
      </c>
      <c r="G133" s="123" t="n"/>
      <c r="H133" s="122" t="n">
        <v>7</v>
      </c>
      <c r="I133" s="122" t="inlineStr">
        <is>
          <t>High</t>
        </is>
      </c>
      <c r="J133" s="123" t="inlineStr">
        <is>
          <t>Global LLP; ~SEK 69m revenue/partner</t>
        </is>
      </c>
      <c r="K133" s="123" t="inlineStr">
        <is>
          <t>Mid-career / next-generation: room to lead and build a practice; Likely pay cut vs current profit share: needs equity / upside story</t>
        </is>
      </c>
    </row>
    <row r="134">
      <c r="A134" s="122" t="inlineStr">
        <is>
          <t>C</t>
        </is>
      </c>
      <c r="B134" s="122" t="n">
        <v>-1</v>
      </c>
      <c r="C134" s="123" t="inlineStr">
        <is>
          <t>Frida Lantoft</t>
        </is>
      </c>
      <c r="D134" s="123" t="inlineStr">
        <is>
          <t>BAHR</t>
        </is>
      </c>
      <c r="E134" s="123" t="inlineStr">
        <is>
          <t>Banking &amp; finance</t>
        </is>
      </c>
      <c r="F134" s="123" t="inlineStr">
        <is>
          <t>Banking &amp; finance: CH: Band 4</t>
        </is>
      </c>
      <c r="G134" s="123" t="n"/>
      <c r="H134" s="122" t="n">
        <v>4</v>
      </c>
      <c r="I134" s="122" t="inlineStr">
        <is>
          <t>Medium</t>
        </is>
      </c>
      <c r="J134" s="123" t="inlineStr">
        <is>
          <t>New Stockholm office (2026); partners just moved</t>
        </is>
      </c>
      <c r="K134" s="123" t="inlineStr">
        <is>
          <t>Mid-career / next-generation: room to lead and build a practice; Moved firm in 2024-26: unlikely to move again soon; New Stockholm office (2026); partners just moved</t>
        </is>
      </c>
    </row>
    <row r="135">
      <c r="A135" s="122" t="inlineStr">
        <is>
          <t>C</t>
        </is>
      </c>
      <c r="B135" s="122" t="n">
        <v>-1</v>
      </c>
      <c r="C135" s="123" t="inlineStr">
        <is>
          <t>Johanna Wärnberg</t>
        </is>
      </c>
      <c r="D135" s="123" t="inlineStr">
        <is>
          <t>BAHR</t>
        </is>
      </c>
      <c r="E135" s="123" t="inlineStr">
        <is>
          <t>Corporate / M&amp;A; Private equity</t>
        </is>
      </c>
      <c r="F135" s="123" t="inlineStr">
        <is>
          <t>Corporate / M&amp;A: L500: Next Generation Partners | Private equity: CH: Band 4</t>
        </is>
      </c>
      <c r="G135" s="123" t="inlineStr">
        <is>
          <t>Partner</t>
        </is>
      </c>
      <c r="H135" s="122" t="n">
        <v>1</v>
      </c>
      <c r="I135" s="122" t="inlineStr">
        <is>
          <t>Medium</t>
        </is>
      </c>
      <c r="J135" s="123" t="inlineStr">
        <is>
          <t>New Stockholm office (2026); partners just moved</t>
        </is>
      </c>
      <c r="K135" s="123" t="inlineStr">
        <is>
          <t>Mid-career / next-generation: room to lead and build a practice; Moved firm in 2024-26: unlikely to move again soon; Ranked in Corporate / M&amp;A &amp; Private equity; New Stockholm office (2026); partners just moved</t>
        </is>
      </c>
    </row>
    <row r="136">
      <c r="A136" s="122" t="inlineStr">
        <is>
          <t>C</t>
        </is>
      </c>
      <c r="B136" s="122" t="n">
        <v>-1</v>
      </c>
      <c r="C136" s="123" t="inlineStr">
        <is>
          <t>Karl Klackenberg</t>
        </is>
      </c>
      <c r="D136" s="123" t="inlineStr">
        <is>
          <t>BAHR</t>
        </is>
      </c>
      <c r="E136" s="123" t="inlineStr">
        <is>
          <t>Private equity</t>
        </is>
      </c>
      <c r="F136" s="123" t="inlineStr">
        <is>
          <t>Private equity: CH: Up and Coming</t>
        </is>
      </c>
      <c r="G136" s="123" t="n"/>
      <c r="H136" s="122" t="n">
        <v>1</v>
      </c>
      <c r="I136" s="122" t="inlineStr">
        <is>
          <t>Medium</t>
        </is>
      </c>
      <c r="J136" s="123" t="inlineStr">
        <is>
          <t>New Stockholm office (2026); partners just moved</t>
        </is>
      </c>
      <c r="K136" s="123" t="inlineStr">
        <is>
          <t>Mid-career / next-generation: room to lead and build a practice; Moved firm in 2024-26: unlikely to move again soon; New Stockholm office (2026); partners just moved</t>
        </is>
      </c>
    </row>
    <row r="137">
      <c r="A137" s="122" t="inlineStr">
        <is>
          <t>C</t>
        </is>
      </c>
      <c r="B137" s="122" t="n">
        <v>-1</v>
      </c>
      <c r="C137" s="123" t="inlineStr">
        <is>
          <t>Kristoffer Stråth</t>
        </is>
      </c>
      <c r="D137" s="123" t="inlineStr">
        <is>
          <t>BAHR</t>
        </is>
      </c>
      <c r="E137" s="123" t="inlineStr">
        <is>
          <t>Dispute resolution</t>
        </is>
      </c>
      <c r="F137" s="123" t="inlineStr">
        <is>
          <t>Dispute resolution: CH: Band 4</t>
        </is>
      </c>
      <c r="G137" s="123" t="n"/>
      <c r="H137" s="122" t="n">
        <v>4</v>
      </c>
      <c r="I137" s="122" t="inlineStr">
        <is>
          <t>Medium</t>
        </is>
      </c>
      <c r="J137" s="123" t="inlineStr">
        <is>
          <t>New Stockholm office (2026); partners just moved</t>
        </is>
      </c>
      <c r="K137" s="123" t="inlineStr">
        <is>
          <t>Mid-career / next-generation: room to lead and build a practice; Moved firm in 2024-26: unlikely to move again soon; New Stockholm office (2026); partners just moved</t>
        </is>
      </c>
    </row>
    <row r="138">
      <c r="A138" s="122" t="inlineStr">
        <is>
          <t>C</t>
        </is>
      </c>
      <c r="B138" s="122" t="n">
        <v>-1</v>
      </c>
      <c r="C138" s="123" t="inlineStr">
        <is>
          <t>Peter Svanqvist</t>
        </is>
      </c>
      <c r="D138" s="123" t="inlineStr">
        <is>
          <t>BAHR</t>
        </is>
      </c>
      <c r="E138" s="123" t="inlineStr">
        <is>
          <t>Banking &amp; finance</t>
        </is>
      </c>
      <c r="F138" s="123" t="inlineStr">
        <is>
          <t>Banking &amp; finance: CH: Band 4</t>
        </is>
      </c>
      <c r="G138" s="123" t="n"/>
      <c r="H138" s="122" t="n">
        <v>2</v>
      </c>
      <c r="I138" s="122" t="inlineStr">
        <is>
          <t>Medium</t>
        </is>
      </c>
      <c r="J138" s="123" t="inlineStr">
        <is>
          <t>New Stockholm office (2026); partners just moved</t>
        </is>
      </c>
      <c r="K138" s="123" t="inlineStr">
        <is>
          <t>Mid-career / next-generation: room to lead and build a practice; Moved firm in 2024-26: unlikely to move again soon; New Stockholm office (2026); partners just moved</t>
        </is>
      </c>
    </row>
    <row r="139">
      <c r="A139" s="122" t="inlineStr">
        <is>
          <t>C</t>
        </is>
      </c>
      <c r="B139" s="122" t="n">
        <v>-1</v>
      </c>
      <c r="C139" s="123" t="inlineStr">
        <is>
          <t>Harry Bergman</t>
        </is>
      </c>
      <c r="D139" s="123" t="inlineStr">
        <is>
          <t>CMS Wistrand</t>
        </is>
      </c>
      <c r="E139" s="123" t="inlineStr">
        <is>
          <t>Dispute resolution</t>
        </is>
      </c>
      <c r="F139" s="123" t="inlineStr">
        <is>
          <t>Dispute resolution: L500: Leading partners, CH: Band 4</t>
        </is>
      </c>
      <c r="G139" s="123" t="inlineStr">
        <is>
          <t>Partner</t>
        </is>
      </c>
      <c r="H139" s="122" t="n">
        <v>17</v>
      </c>
      <c r="I139" s="122" t="inlineStr">
        <is>
          <t>Medium</t>
        </is>
      </c>
      <c r="J139" s="123" t="inlineStr">
        <is>
          <t>Joined CMS network 2024</t>
        </is>
      </c>
      <c r="K139" s="123" t="n"/>
    </row>
    <row r="140">
      <c r="A140" s="122" t="inlineStr">
        <is>
          <t>C</t>
        </is>
      </c>
      <c r="B140" s="122" t="n">
        <v>-1</v>
      </c>
      <c r="C140" s="123" t="inlineStr">
        <is>
          <t>Jesper Johansson</t>
        </is>
      </c>
      <c r="D140" s="123" t="inlineStr">
        <is>
          <t>Cirio</t>
        </is>
      </c>
      <c r="E140" s="123" t="inlineStr">
        <is>
          <t>Banking &amp; finance</t>
        </is>
      </c>
      <c r="F140" s="123" t="inlineStr">
        <is>
          <t>Banking &amp; finance: L500: Leading partners, CH: Band 3</t>
        </is>
      </c>
      <c r="G140" s="123" t="n"/>
      <c r="H140" s="122" t="n">
        <v>17</v>
      </c>
      <c r="I140" s="122" t="inlineStr">
        <is>
          <t>Medium</t>
        </is>
      </c>
      <c r="J140" s="123" t="inlineStr">
        <is>
          <t>Growing (+15% 2025); net partner gainer</t>
        </is>
      </c>
      <c r="K140" s="123" t="n"/>
    </row>
    <row r="141">
      <c r="A141" s="122" t="inlineStr">
        <is>
          <t>C</t>
        </is>
      </c>
      <c r="B141" s="122" t="n">
        <v>-1</v>
      </c>
      <c r="C141" s="123" t="inlineStr">
        <is>
          <t>Anders Malmström</t>
        </is>
      </c>
      <c r="D141" s="123" t="inlineStr">
        <is>
          <t>DLA Piper</t>
        </is>
      </c>
      <c r="E141" s="123" t="inlineStr">
        <is>
          <t>Corporate / M&amp;A</t>
        </is>
      </c>
      <c r="F141" s="123" t="inlineStr">
        <is>
          <t>Corporate / M&amp;A: L500: Leading partners, CH: Band 5</t>
        </is>
      </c>
      <c r="G141" s="123" t="n"/>
      <c r="H141" s="122" t="n">
        <v>18</v>
      </c>
      <c r="I141" s="122" t="inlineStr">
        <is>
          <t>Medium</t>
        </is>
      </c>
      <c r="J141" s="123" t="inlineStr">
        <is>
          <t>Revenue -9% FY24/25; net partner gainer</t>
        </is>
      </c>
      <c r="K141" s="123" t="n"/>
    </row>
    <row r="142">
      <c r="A142" s="122" t="inlineStr">
        <is>
          <t>C</t>
        </is>
      </c>
      <c r="B142" s="122" t="n">
        <v>-1</v>
      </c>
      <c r="C142" s="123" t="inlineStr">
        <is>
          <t>Fredrik Palm</t>
        </is>
      </c>
      <c r="D142" s="123" t="inlineStr">
        <is>
          <t>Gernandt &amp; Danielsson</t>
        </is>
      </c>
      <c r="E142" s="123" t="inlineStr">
        <is>
          <t>Corporate / M&amp;A</t>
        </is>
      </c>
      <c r="F142" s="123" t="inlineStr">
        <is>
          <t>Corporate / M&amp;A: CH: Band 3</t>
        </is>
      </c>
      <c r="G142" s="123" t="n"/>
      <c r="H142" s="122" t="n">
        <v>15</v>
      </c>
      <c r="I142" s="122" t="inlineStr">
        <is>
          <t>High</t>
        </is>
      </c>
      <c r="J142" s="123" t="inlineStr">
        <is>
          <t>Net partner gainer (team lifts 2024-26)</t>
        </is>
      </c>
      <c r="K142" s="123" t="inlineStr">
        <is>
          <t>Mid-career / next-generation: room to lead and build a practice; Likely pay cut vs current profit share: needs equity / upside story</t>
        </is>
      </c>
    </row>
    <row r="143">
      <c r="A143" s="122" t="inlineStr">
        <is>
          <t>C</t>
        </is>
      </c>
      <c r="B143" s="122" t="n">
        <v>-1</v>
      </c>
      <c r="C143" s="123" t="inlineStr">
        <is>
          <t>Pontus Ewerlöf</t>
        </is>
      </c>
      <c r="D143" s="123" t="inlineStr">
        <is>
          <t>Gernandt &amp; Danielsson</t>
        </is>
      </c>
      <c r="E143" s="123" t="inlineStr">
        <is>
          <t>Dispute resolution</t>
        </is>
      </c>
      <c r="F143" s="123" t="inlineStr">
        <is>
          <t>Dispute resolution: CH: Band 3</t>
        </is>
      </c>
      <c r="G143" s="123" t="n"/>
      <c r="H143" s="122" t="n">
        <v>11</v>
      </c>
      <c r="I143" s="122" t="inlineStr">
        <is>
          <t>High</t>
        </is>
      </c>
      <c r="J143" s="123" t="inlineStr">
        <is>
          <t>Net partner gainer (team lifts 2024-26)</t>
        </is>
      </c>
      <c r="K143" s="123" t="inlineStr">
        <is>
          <t>Mid-career / next-generation: room to lead and build a practice; Likely pay cut vs current profit share: needs equity / upside story; Moved firm in 2024-26: unlikely to move again soon</t>
        </is>
      </c>
    </row>
    <row r="144">
      <c r="A144" s="122" t="inlineStr">
        <is>
          <t>C</t>
        </is>
      </c>
      <c r="B144" s="122" t="n">
        <v>-1</v>
      </c>
      <c r="C144" s="123" t="inlineStr">
        <is>
          <t>Ola Åhman</t>
        </is>
      </c>
      <c r="D144" s="123" t="inlineStr">
        <is>
          <t>Hammarskiöld</t>
        </is>
      </c>
      <c r="E144" s="123" t="inlineStr">
        <is>
          <t>Corporate / M&amp;A</t>
        </is>
      </c>
      <c r="F144" s="123" t="inlineStr">
        <is>
          <t>Corporate / M&amp;A: L500: Hall of Fame, CH: Band 5</t>
        </is>
      </c>
      <c r="G144" s="123" t="inlineStr">
        <is>
          <t>Partner</t>
        </is>
      </c>
      <c r="H144" s="122" t="n">
        <v>20</v>
      </c>
      <c r="I144" s="122" t="inlineStr">
        <is>
          <t>Medium</t>
        </is>
      </c>
      <c r="J144" s="123" t="n"/>
      <c r="K144" s="123" t="inlineStr">
        <is>
          <t>Senior market leader: hard to move; possible senior adviser / team anchor; Has moved firm before (2020-24)</t>
        </is>
      </c>
    </row>
    <row r="145">
      <c r="A145" s="122" t="inlineStr">
        <is>
          <t>C</t>
        </is>
      </c>
      <c r="B145" s="122" t="n">
        <v>-1</v>
      </c>
      <c r="C145" s="123" t="inlineStr">
        <is>
          <t>Andreas Zettergren</t>
        </is>
      </c>
      <c r="D145" s="123" t="inlineStr">
        <is>
          <t>Mannheimer Swartling</t>
        </is>
      </c>
      <c r="E145" s="123" t="inlineStr">
        <is>
          <t>Banking &amp; finance</t>
        </is>
      </c>
      <c r="F145" s="123" t="inlineStr">
        <is>
          <t>Banking &amp; finance: L500: Leading partners, CH: Band 2</t>
        </is>
      </c>
      <c r="G145" s="123" t="n"/>
      <c r="H145" s="122" t="n">
        <v>10</v>
      </c>
      <c r="I145" s="122" t="inlineStr">
        <is>
          <t>High</t>
        </is>
      </c>
      <c r="J145" s="123" t="inlineStr">
        <is>
          <t>Lockstep: profit pool ~SEK 8.7m/partner; 2 partner exits since 2024</t>
        </is>
      </c>
      <c r="K145" s="123" t="inlineStr">
        <is>
          <t>Likely pay cut vs current profit share: needs equity / upside story</t>
        </is>
      </c>
    </row>
    <row r="146">
      <c r="A146" s="122" t="inlineStr">
        <is>
          <t>C</t>
        </is>
      </c>
      <c r="B146" s="122" t="n">
        <v>-1</v>
      </c>
      <c r="C146" s="123" t="inlineStr">
        <is>
          <t>Fredrik Andretzky</t>
        </is>
      </c>
      <c r="D146" s="123" t="inlineStr">
        <is>
          <t>Mannheimer Swartling</t>
        </is>
      </c>
      <c r="E146" s="123" t="inlineStr">
        <is>
          <t>Corporate / M&amp;A</t>
        </is>
      </c>
      <c r="F146" s="123" t="inlineStr">
        <is>
          <t>Corporate / M&amp;A: CH: Band 4</t>
        </is>
      </c>
      <c r="G146" s="123" t="n"/>
      <c r="H146" s="122" t="n">
        <v>20</v>
      </c>
      <c r="I146" s="122" t="inlineStr">
        <is>
          <t>High</t>
        </is>
      </c>
      <c r="J146" s="123" t="inlineStr">
        <is>
          <t>Lockstep: profit pool ~SEK 8.7m/partner; 2 partner exits since 2024</t>
        </is>
      </c>
      <c r="K146" s="123" t="inlineStr">
        <is>
          <t>Mid-career / next-generation: room to lead and build a practice; Likely pay cut vs current profit share: needs equity / upside story</t>
        </is>
      </c>
    </row>
    <row r="147">
      <c r="A147" s="122" t="inlineStr">
        <is>
          <t>C</t>
        </is>
      </c>
      <c r="B147" s="122" t="n">
        <v>-1</v>
      </c>
      <c r="C147" s="123" t="inlineStr">
        <is>
          <t>Patrik Marcelius</t>
        </is>
      </c>
      <c r="D147" s="123" t="inlineStr">
        <is>
          <t>Mannheimer Swartling</t>
        </is>
      </c>
      <c r="E147" s="123" t="inlineStr">
        <is>
          <t>Corporate / M&amp;A</t>
        </is>
      </c>
      <c r="F147" s="123" t="inlineStr">
        <is>
          <t>Corporate / M&amp;A: CH: Band 3</t>
        </is>
      </c>
      <c r="G147" s="123" t="n"/>
      <c r="H147" s="122" t="n">
        <v>15</v>
      </c>
      <c r="I147" s="122" t="inlineStr">
        <is>
          <t>High</t>
        </is>
      </c>
      <c r="J147" s="123" t="inlineStr">
        <is>
          <t>Lockstep: profit pool ~SEK 8.7m/partner; 2 partner exits since 2024</t>
        </is>
      </c>
      <c r="K147" s="123" t="inlineStr">
        <is>
          <t>Mid-career / next-generation: room to lead and build a practice; Likely pay cut vs current profit share: needs equity / upside story</t>
        </is>
      </c>
    </row>
    <row r="148">
      <c r="A148" s="122" t="inlineStr">
        <is>
          <t>C</t>
        </is>
      </c>
      <c r="B148" s="122" t="n">
        <v>-1</v>
      </c>
      <c r="C148" s="123" t="inlineStr">
        <is>
          <t>Zoran Stambolovski</t>
        </is>
      </c>
      <c r="D148" s="123" t="inlineStr">
        <is>
          <t>Mannheimer Swartling</t>
        </is>
      </c>
      <c r="E148" s="123" t="inlineStr">
        <is>
          <t>Banking &amp; finance</t>
        </is>
      </c>
      <c r="F148" s="123" t="inlineStr">
        <is>
          <t>Banking &amp; finance: L500: Leading partners, CH: Band 3</t>
        </is>
      </c>
      <c r="G148" s="123" t="n"/>
      <c r="H148" s="122" t="n">
        <v>13</v>
      </c>
      <c r="I148" s="122" t="inlineStr">
        <is>
          <t>High</t>
        </is>
      </c>
      <c r="J148" s="123" t="inlineStr">
        <is>
          <t>Lockstep: profit pool ~SEK 8.7m/partner; 2 partner exits since 2024</t>
        </is>
      </c>
      <c r="K148" s="123" t="inlineStr">
        <is>
          <t>Likely pay cut vs current profit share: needs equity / upside story</t>
        </is>
      </c>
    </row>
    <row r="149">
      <c r="A149" s="122" t="inlineStr">
        <is>
          <t>C</t>
        </is>
      </c>
      <c r="B149" s="122" t="n">
        <v>-1</v>
      </c>
      <c r="C149" s="123" t="inlineStr">
        <is>
          <t>James Hope</t>
        </is>
      </c>
      <c r="D149" s="123" t="inlineStr">
        <is>
          <t>Vinge</t>
        </is>
      </c>
      <c r="E149" s="123" t="inlineStr">
        <is>
          <t>Dispute resolution</t>
        </is>
      </c>
      <c r="F149" s="123" t="inlineStr">
        <is>
          <t>Dispute resolution: CH: Band 2</t>
        </is>
      </c>
      <c r="G149" s="123" t="n"/>
      <c r="H149" s="122" t="n">
        <v>13</v>
      </c>
      <c r="I149" s="122" t="inlineStr">
        <is>
          <t>High</t>
        </is>
      </c>
      <c r="J149" s="123" t="inlineStr">
        <is>
          <t>Profit pool ~SEK 7m/partner; individual-contribution model</t>
        </is>
      </c>
      <c r="K149" s="123" t="inlineStr">
        <is>
          <t>Likely pay cut vs current profit share: needs equity / upside story</t>
        </is>
      </c>
    </row>
    <row r="150">
      <c r="A150" s="122" t="inlineStr">
        <is>
          <t>C</t>
        </is>
      </c>
      <c r="B150" s="122" t="n">
        <v>-1</v>
      </c>
      <c r="C150" s="123" t="inlineStr">
        <is>
          <t>Jonas Bergström</t>
        </is>
      </c>
      <c r="D150" s="123" t="inlineStr">
        <is>
          <t>Vinge</t>
        </is>
      </c>
      <c r="E150" s="123" t="inlineStr">
        <is>
          <t>Corporate / M&amp;A; Private equity</t>
        </is>
      </c>
      <c r="F150" s="123" t="inlineStr">
        <is>
          <t>Corporate / M&amp;A: CH: Band 2 | Private equity: CH: Band 2</t>
        </is>
      </c>
      <c r="G150" s="123" t="n"/>
      <c r="H150" s="122" t="n">
        <v>10</v>
      </c>
      <c r="I150" s="122" t="inlineStr">
        <is>
          <t>High</t>
        </is>
      </c>
      <c r="J150" s="123" t="inlineStr">
        <is>
          <t>Profit pool ~SEK 7m/partner; individual-contribution model</t>
        </is>
      </c>
      <c r="K150" s="123" t="inlineStr">
        <is>
          <t>Likely pay cut vs current profit share: needs equity / upside story; Ranked in Corporate / M&amp;A &amp; Private equity</t>
        </is>
      </c>
    </row>
    <row r="151">
      <c r="A151" s="122" t="inlineStr">
        <is>
          <t>C</t>
        </is>
      </c>
      <c r="B151" s="122" t="n">
        <v>-1</v>
      </c>
      <c r="C151" s="123" t="inlineStr">
        <is>
          <t>Mattias Rosengren</t>
        </is>
      </c>
      <c r="D151" s="123" t="inlineStr">
        <is>
          <t>Vinge</t>
        </is>
      </c>
      <c r="E151" s="123" t="inlineStr">
        <is>
          <t>Dispute resolution</t>
        </is>
      </c>
      <c r="F151" s="123" t="inlineStr">
        <is>
          <t>Dispute resolution: CH: Band 2</t>
        </is>
      </c>
      <c r="G151" s="123" t="n"/>
      <c r="H151" s="122" t="n">
        <v>12</v>
      </c>
      <c r="I151" s="122" t="inlineStr">
        <is>
          <t>High</t>
        </is>
      </c>
      <c r="J151" s="123" t="inlineStr">
        <is>
          <t>Profit pool ~SEK 7m/partner; individual-contribution model</t>
        </is>
      </c>
      <c r="K151" s="123" t="inlineStr">
        <is>
          <t>Likely pay cut vs current profit share: needs equity / upside story</t>
        </is>
      </c>
    </row>
    <row r="152">
      <c r="A152" s="122" t="inlineStr">
        <is>
          <t>C</t>
        </is>
      </c>
      <c r="B152" s="122" t="n">
        <v>-1</v>
      </c>
      <c r="C152" s="123" t="inlineStr">
        <is>
          <t>Mikael Ståhl</t>
        </is>
      </c>
      <c r="D152" s="123" t="inlineStr">
        <is>
          <t>Vinge</t>
        </is>
      </c>
      <c r="E152" s="123" t="inlineStr">
        <is>
          <t>Banking &amp; finance</t>
        </is>
      </c>
      <c r="F152" s="123" t="inlineStr">
        <is>
          <t>Banking &amp; finance: CH: Band 3</t>
        </is>
      </c>
      <c r="G152" s="123" t="n"/>
      <c r="H152" s="122" t="n">
        <v>20</v>
      </c>
      <c r="I152" s="122" t="inlineStr">
        <is>
          <t>High</t>
        </is>
      </c>
      <c r="J152" s="123" t="inlineStr">
        <is>
          <t>Profit pool ~SEK 7m/partner; individual-contribution model</t>
        </is>
      </c>
      <c r="K152" s="123" t="inlineStr">
        <is>
          <t>Mid-career / next-generation: room to lead and build a practice; Likely pay cut vs current profit share: needs equity / upside story</t>
        </is>
      </c>
    </row>
    <row r="153">
      <c r="A153" s="122" t="inlineStr">
        <is>
          <t>C</t>
        </is>
      </c>
      <c r="B153" s="122" t="n">
        <v>-1</v>
      </c>
      <c r="C153" s="123" t="inlineStr">
        <is>
          <t>Martin Wallin</t>
        </is>
      </c>
      <c r="D153" s="123" t="inlineStr">
        <is>
          <t>Wallin &amp; Partners</t>
        </is>
      </c>
      <c r="E153" s="123" t="inlineStr">
        <is>
          <t>Dispute resolution</t>
        </is>
      </c>
      <c r="F153" s="123" t="inlineStr">
        <is>
          <t>Dispute resolution: L500: Hall of Fame, CH: Band 2</t>
        </is>
      </c>
      <c r="G153" s="123" t="n"/>
      <c r="H153" s="122" t="n">
        <v>20</v>
      </c>
      <c r="I153" s="122" t="inlineStr">
        <is>
          <t>Lower</t>
        </is>
      </c>
      <c r="J153" s="123" t="n"/>
      <c r="K153" s="123" t="inlineStr">
        <is>
          <t>Senior market leader: hard to move; possible senior adviser / team anchor</t>
        </is>
      </c>
    </row>
    <row r="154">
      <c r="A154" s="122" t="inlineStr">
        <is>
          <t>C</t>
        </is>
      </c>
      <c r="B154" s="122" t="n">
        <v>-1</v>
      </c>
      <c r="C154" s="123" t="inlineStr">
        <is>
          <t>Oscar Liljeson</t>
        </is>
      </c>
      <c r="D154" s="123" t="inlineStr">
        <is>
          <t>White &amp; Case</t>
        </is>
      </c>
      <c r="E154" s="123" t="inlineStr">
        <is>
          <t>Banking &amp; finance</t>
        </is>
      </c>
      <c r="F154" s="123" t="inlineStr">
        <is>
          <t>Banking &amp; finance: L500: Leading partners, CH: Band 2</t>
        </is>
      </c>
      <c r="G154" s="123" t="inlineStr">
        <is>
          <t>Partner</t>
        </is>
      </c>
      <c r="H154" s="122" t="n">
        <v>13</v>
      </c>
      <c r="I154" s="122" t="inlineStr">
        <is>
          <t>High</t>
        </is>
      </c>
      <c r="J154" s="123" t="inlineStr">
        <is>
          <t>Global LLP; ~SEK 69m revenue/partner</t>
        </is>
      </c>
      <c r="K154" s="123" t="inlineStr">
        <is>
          <t>Likely pay cut vs current profit share: needs equity / upside story</t>
        </is>
      </c>
    </row>
    <row r="155">
      <c r="A155" s="122" t="inlineStr">
        <is>
          <t>C</t>
        </is>
      </c>
      <c r="B155" s="122" t="n">
        <v>-2</v>
      </c>
      <c r="C155" s="123" t="inlineStr">
        <is>
          <t>Eric Halvarsson</t>
        </is>
      </c>
      <c r="D155" s="123" t="inlineStr">
        <is>
          <t>BAHR</t>
        </is>
      </c>
      <c r="E155" s="123" t="inlineStr">
        <is>
          <t>Banking &amp; finance</t>
        </is>
      </c>
      <c r="F155" s="123" t="inlineStr">
        <is>
          <t>Banking &amp; finance: CH: Band 4</t>
        </is>
      </c>
      <c r="G155" s="123" t="n"/>
      <c r="H155" s="122" t="n">
        <v>12</v>
      </c>
      <c r="I155" s="122" t="inlineStr">
        <is>
          <t>Medium</t>
        </is>
      </c>
      <c r="J155" s="123" t="inlineStr">
        <is>
          <t>New Stockholm office (2026); partners just moved</t>
        </is>
      </c>
      <c r="K155" s="123" t="inlineStr">
        <is>
          <t>Mid-career / next-generation: room to lead and build a practice; Moved firm in 2024-26: unlikely to move again soon; New Stockholm office (2026); partners just moved</t>
        </is>
      </c>
    </row>
    <row r="156">
      <c r="A156" s="122" t="inlineStr">
        <is>
          <t>C</t>
        </is>
      </c>
      <c r="B156" s="122" t="n">
        <v>-2</v>
      </c>
      <c r="C156" s="123" t="inlineStr">
        <is>
          <t>Tom Wehtje</t>
        </is>
      </c>
      <c r="D156" s="123" t="inlineStr">
        <is>
          <t>BAHR</t>
        </is>
      </c>
      <c r="E156" s="123" t="inlineStr">
        <is>
          <t>Corporate / M&amp;A</t>
        </is>
      </c>
      <c r="F156" s="123" t="inlineStr">
        <is>
          <t>Corporate / M&amp;A: CH: Band 4</t>
        </is>
      </c>
      <c r="G156" s="123" t="inlineStr">
        <is>
          <t>Department head</t>
        </is>
      </c>
      <c r="H156" s="122" t="n">
        <v>13</v>
      </c>
      <c r="I156" s="122" t="inlineStr">
        <is>
          <t>Medium</t>
        </is>
      </c>
      <c r="J156" s="123" t="inlineStr">
        <is>
          <t>New Stockholm office (2026); partners just moved</t>
        </is>
      </c>
      <c r="K156" s="123" t="inlineStr">
        <is>
          <t>Mid-career / next-generation: room to lead and build a practice; Moved firm in 2024-26: unlikely to move again soon; New Stockholm office (2026); partners just moved</t>
        </is>
      </c>
    </row>
    <row r="157">
      <c r="A157" s="122" t="inlineStr">
        <is>
          <t>C</t>
        </is>
      </c>
      <c r="B157" s="122" t="n">
        <v>-2</v>
      </c>
      <c r="C157" s="123" t="inlineStr">
        <is>
          <t>Carl Westerberg</t>
        </is>
      </c>
      <c r="D157" s="123" t="inlineStr">
        <is>
          <t>Gernandt &amp; Danielsson</t>
        </is>
      </c>
      <c r="E157" s="123" t="inlineStr">
        <is>
          <t>Corporate / M&amp;A; Private equity</t>
        </is>
      </c>
      <c r="F157" s="123" t="inlineStr">
        <is>
          <t>Corporate / M&amp;A: L500: Leading partners, CH: Band 2 | Private equity: CH: Band 2</t>
        </is>
      </c>
      <c r="G157" s="123" t="inlineStr">
        <is>
          <t>Partner</t>
        </is>
      </c>
      <c r="H157" s="122" t="n">
        <v>15</v>
      </c>
      <c r="I157" s="122" t="inlineStr">
        <is>
          <t>High</t>
        </is>
      </c>
      <c r="J157" s="123" t="inlineStr">
        <is>
          <t>Net partner gainer (team lifts 2024-26)</t>
        </is>
      </c>
      <c r="K157" s="123" t="inlineStr">
        <is>
          <t>Likely pay cut vs current profit share: needs equity / upside story; Ranked in Corporate / M&amp;A &amp; Private equity</t>
        </is>
      </c>
    </row>
    <row r="158">
      <c r="A158" s="122" t="inlineStr">
        <is>
          <t>C</t>
        </is>
      </c>
      <c r="B158" s="122" t="n">
        <v>-2</v>
      </c>
      <c r="C158" s="123" t="inlineStr">
        <is>
          <t>Niclas Rockborn</t>
        </is>
      </c>
      <c r="D158" s="123" t="inlineStr">
        <is>
          <t>Gernandt &amp; Danielsson</t>
        </is>
      </c>
      <c r="E158" s="123" t="inlineStr">
        <is>
          <t>Banking &amp; finance</t>
        </is>
      </c>
      <c r="F158" s="123" t="inlineStr">
        <is>
          <t>Banking &amp; finance: L500: Leading partners</t>
        </is>
      </c>
      <c r="G158" s="123" t="inlineStr">
        <is>
          <t>Partner</t>
        </is>
      </c>
      <c r="H158" s="122" t="n">
        <v>20</v>
      </c>
      <c r="I158" s="122" t="inlineStr">
        <is>
          <t>High</t>
        </is>
      </c>
      <c r="J158" s="123" t="inlineStr">
        <is>
          <t>Net partner gainer (team lifts 2024-26)</t>
        </is>
      </c>
      <c r="K158" s="123" t="inlineStr">
        <is>
          <t>Likely pay cut vs current profit share: needs equity / upside story</t>
        </is>
      </c>
    </row>
    <row r="159">
      <c r="A159" s="122" t="inlineStr">
        <is>
          <t>C</t>
        </is>
      </c>
      <c r="B159" s="122" t="n">
        <v>-2</v>
      </c>
      <c r="C159" s="123" t="inlineStr">
        <is>
          <t>Kristoffer Löf</t>
        </is>
      </c>
      <c r="D159" s="123" t="inlineStr">
        <is>
          <t>Mannheimer Swartling</t>
        </is>
      </c>
      <c r="E159" s="123" t="inlineStr">
        <is>
          <t>Dispute resolution</t>
        </is>
      </c>
      <c r="F159" s="123" t="inlineStr">
        <is>
          <t>Dispute resolution: L500: Leading partners, CH: Band 1</t>
        </is>
      </c>
      <c r="G159" s="123" t="n"/>
      <c r="H159" s="122" t="n">
        <v>13</v>
      </c>
      <c r="I159" s="122" t="inlineStr">
        <is>
          <t>High</t>
        </is>
      </c>
      <c r="J159" s="123" t="inlineStr">
        <is>
          <t>Lockstep: profit pool ~SEK 8.7m/partner; 2 partner exits since 2024</t>
        </is>
      </c>
      <c r="K159" s="123" t="inlineStr">
        <is>
          <t>Senior market leader: hard to move; possible senior adviser / team anchor; Likely pay cut vs current profit share: needs equity / upside story</t>
        </is>
      </c>
    </row>
    <row r="160">
      <c r="A160" s="122" t="inlineStr">
        <is>
          <t>C</t>
        </is>
      </c>
      <c r="B160" s="122" t="n">
        <v>-2</v>
      </c>
      <c r="C160" s="123" t="inlineStr">
        <is>
          <t>Martin Pekkari</t>
        </is>
      </c>
      <c r="D160" s="123" t="inlineStr">
        <is>
          <t>Mannheimer Swartling</t>
        </is>
      </c>
      <c r="E160" s="123" t="inlineStr">
        <is>
          <t>Corporate / M&amp;A</t>
        </is>
      </c>
      <c r="F160" s="123" t="inlineStr">
        <is>
          <t>Corporate / M&amp;A: L500: Leading partners</t>
        </is>
      </c>
      <c r="G160" s="123" t="n"/>
      <c r="H160" s="122" t="n">
        <v>20</v>
      </c>
      <c r="I160" s="122" t="inlineStr">
        <is>
          <t>High</t>
        </is>
      </c>
      <c r="J160" s="123" t="inlineStr">
        <is>
          <t>Lockstep: profit pool ~SEK 8.7m/partner; 2 partner exits since 2024</t>
        </is>
      </c>
      <c r="K160" s="123" t="inlineStr">
        <is>
          <t>Likely pay cut vs current profit share: needs equity / upside story</t>
        </is>
      </c>
    </row>
    <row r="161">
      <c r="A161" s="122" t="inlineStr">
        <is>
          <t>C</t>
        </is>
      </c>
      <c r="B161" s="122" t="n">
        <v>-2</v>
      </c>
      <c r="C161" s="123" t="inlineStr">
        <is>
          <t>Svante Hultqvist</t>
        </is>
      </c>
      <c r="D161" s="123" t="inlineStr">
        <is>
          <t>RE:FI STHLM</t>
        </is>
      </c>
      <c r="E161" s="123" t="inlineStr">
        <is>
          <t>Banking &amp; finance</t>
        </is>
      </c>
      <c r="F161" s="123" t="inlineStr">
        <is>
          <t>Banking &amp; finance: CH: Senior Statespeople</t>
        </is>
      </c>
      <c r="G161" s="123" t="n"/>
      <c r="H161" s="122" t="n">
        <v>20</v>
      </c>
      <c r="I161" s="122" t="inlineStr">
        <is>
          <t>Lower</t>
        </is>
      </c>
      <c r="J161" s="123" t="inlineStr">
        <is>
          <t>Boutique founded 2024 (ex-Cederquist)</t>
        </is>
      </c>
      <c r="K161" s="123" t="inlineStr">
        <is>
          <t>Senior market leader: hard to move; possible senior adviser / team anchor</t>
        </is>
      </c>
    </row>
    <row r="162">
      <c r="A162" s="122" t="inlineStr">
        <is>
          <t>C</t>
        </is>
      </c>
      <c r="B162" s="122" t="n">
        <v>-2</v>
      </c>
      <c r="C162" s="123" t="inlineStr">
        <is>
          <t>Jens Bengtsson</t>
        </is>
      </c>
      <c r="D162" s="123" t="inlineStr">
        <is>
          <t>Roschier</t>
        </is>
      </c>
      <c r="E162" s="123" t="inlineStr">
        <is>
          <t>Corporate / M&amp;A; Private equity</t>
        </is>
      </c>
      <c r="F162" s="123" t="inlineStr">
        <is>
          <t>Corporate / M&amp;A: L500: Leading partners, CH: Band 2 | Private equity: CH: Band 1</t>
        </is>
      </c>
      <c r="G162" s="123" t="inlineStr">
        <is>
          <t>Department head</t>
        </is>
      </c>
      <c r="H162" s="122" t="n">
        <v>20</v>
      </c>
      <c r="I162" s="122" t="inlineStr">
        <is>
          <t>High</t>
        </is>
      </c>
      <c r="J162" s="123" t="inlineStr">
        <is>
          <t>3 partner exits 2020-26</t>
        </is>
      </c>
      <c r="K162" s="123" t="inlineStr">
        <is>
          <t>3 partner exits 2020-26; Senior market leader: hard to move; possible senior adviser / team anchor; Likely pay cut vs current profit share: needs equity / upside story; Ranked in Corporate / M&amp;A &amp; Private equity</t>
        </is>
      </c>
    </row>
    <row r="163">
      <c r="A163" s="122" t="inlineStr">
        <is>
          <t>C</t>
        </is>
      </c>
      <c r="B163" s="122" t="n">
        <v>-2</v>
      </c>
      <c r="C163" s="123" t="inlineStr">
        <is>
          <t>Johan Sidklev</t>
        </is>
      </c>
      <c r="D163" s="123" t="inlineStr">
        <is>
          <t>Roschier</t>
        </is>
      </c>
      <c r="E163" s="123" t="inlineStr">
        <is>
          <t>Dispute resolution</t>
        </is>
      </c>
      <c r="F163" s="123" t="inlineStr">
        <is>
          <t>Dispute resolution: L500: Leading partners, CH: Band 1</t>
        </is>
      </c>
      <c r="G163" s="123" t="inlineStr">
        <is>
          <t>Department head</t>
        </is>
      </c>
      <c r="H163" s="122" t="n">
        <v>20</v>
      </c>
      <c r="I163" s="122" t="inlineStr">
        <is>
          <t>High</t>
        </is>
      </c>
      <c r="J163" s="123" t="inlineStr">
        <is>
          <t>3 partner exits 2020-26</t>
        </is>
      </c>
      <c r="K163" s="123" t="inlineStr">
        <is>
          <t>3 partner exits 2020-26; Senior market leader: hard to move; possible senior adviser / team anchor; Likely pay cut vs current profit share: needs equity / upside story</t>
        </is>
      </c>
    </row>
    <row r="164">
      <c r="A164" s="122" t="inlineStr">
        <is>
          <t>C</t>
        </is>
      </c>
      <c r="B164" s="122" t="n">
        <v>-2</v>
      </c>
      <c r="C164" s="123" t="inlineStr">
        <is>
          <t>Malin Leffler</t>
        </is>
      </c>
      <c r="D164" s="123" t="inlineStr">
        <is>
          <t>Roschier</t>
        </is>
      </c>
      <c r="E164" s="123" t="inlineStr">
        <is>
          <t>Corporate / M&amp;A; Private equity</t>
        </is>
      </c>
      <c r="F164" s="123" t="inlineStr">
        <is>
          <t>Corporate / M&amp;A: L500: Leading partners, CH: Band 1 | Private equity: CH: Band 2</t>
        </is>
      </c>
      <c r="G164" s="123" t="inlineStr">
        <is>
          <t>Department head</t>
        </is>
      </c>
      <c r="H164" s="122" t="n">
        <v>20</v>
      </c>
      <c r="I164" s="122" t="inlineStr">
        <is>
          <t>High</t>
        </is>
      </c>
      <c r="J164" s="123" t="inlineStr">
        <is>
          <t>3 partner exits 2020-26</t>
        </is>
      </c>
      <c r="K164" s="123" t="inlineStr">
        <is>
          <t>3 partner exits 2020-26; Senior market leader: hard to move; possible senior adviser / team anchor; Likely pay cut vs current profit share: needs equity / upside story; Ranked in Corporate / M&amp;A &amp; Private equity</t>
        </is>
      </c>
    </row>
    <row r="165">
      <c r="A165" s="122" t="inlineStr">
        <is>
          <t>C</t>
        </is>
      </c>
      <c r="B165" s="122" t="n">
        <v>-2</v>
      </c>
      <c r="C165" s="123" t="inlineStr">
        <is>
          <t>Christina Kokko</t>
        </is>
      </c>
      <c r="D165" s="123" t="inlineStr">
        <is>
          <t>Vinge</t>
        </is>
      </c>
      <c r="E165" s="123" t="inlineStr">
        <is>
          <t>Corporate / M&amp;A; Private equity</t>
        </is>
      </c>
      <c r="F165" s="123" t="inlineStr">
        <is>
          <t>Corporate / M&amp;A: CH: Band 1 | Private equity: CH: Band 1</t>
        </is>
      </c>
      <c r="G165" s="123" t="n"/>
      <c r="H165" s="122" t="n">
        <v>14</v>
      </c>
      <c r="I165" s="122" t="inlineStr">
        <is>
          <t>High</t>
        </is>
      </c>
      <c r="J165" s="123" t="inlineStr">
        <is>
          <t>Profit pool ~SEK 7m/partner; individual-contribution model</t>
        </is>
      </c>
      <c r="K165" s="123" t="inlineStr">
        <is>
          <t>Senior market leader: hard to move; possible senior adviser / team anchor; Likely pay cut vs current profit share: needs equity / upside story; Ranked in Corporate / M&amp;A &amp; Private equity</t>
        </is>
      </c>
    </row>
    <row r="166">
      <c r="A166" s="122" t="inlineStr">
        <is>
          <t>C</t>
        </is>
      </c>
      <c r="B166" s="122" t="n">
        <v>-2</v>
      </c>
      <c r="C166" s="123" t="inlineStr">
        <is>
          <t>Johan Winnerblad</t>
        </is>
      </c>
      <c r="D166" s="123" t="inlineStr">
        <is>
          <t>Vinge</t>
        </is>
      </c>
      <c r="E166" s="123" t="inlineStr">
        <is>
          <t>Corporate / M&amp;A; Private equity</t>
        </is>
      </c>
      <c r="F166" s="123" t="inlineStr">
        <is>
          <t>Corporate / M&amp;A: CH: Band 2 | Private equity: CH: Band 3</t>
        </is>
      </c>
      <c r="G166" s="123" t="n"/>
      <c r="H166" s="122" t="n">
        <v>20</v>
      </c>
      <c r="I166" s="122" t="inlineStr">
        <is>
          <t>High</t>
        </is>
      </c>
      <c r="J166" s="123" t="inlineStr">
        <is>
          <t>Profit pool ~SEK 7m/partner; individual-contribution model</t>
        </is>
      </c>
      <c r="K166" s="123" t="inlineStr">
        <is>
          <t>Likely pay cut vs current profit share: needs equity / upside story; Ranked in Corporate / M&amp;A &amp; Private equity</t>
        </is>
      </c>
    </row>
    <row r="167">
      <c r="A167" s="122" t="inlineStr">
        <is>
          <t>C</t>
        </is>
      </c>
      <c r="B167" s="122" t="n">
        <v>-3</v>
      </c>
      <c r="C167" s="123" t="inlineStr">
        <is>
          <t>Ola Hansson</t>
        </is>
      </c>
      <c r="D167" s="123" t="inlineStr">
        <is>
          <t>BAHR</t>
        </is>
      </c>
      <c r="E167" s="123" t="inlineStr">
        <is>
          <t>Dispute resolution</t>
        </is>
      </c>
      <c r="F167" s="123" t="inlineStr">
        <is>
          <t>Dispute resolution: CH: Band 3</t>
        </is>
      </c>
      <c r="G167" s="123" t="n"/>
      <c r="H167" s="122" t="n">
        <v>20</v>
      </c>
      <c r="I167" s="122" t="inlineStr">
        <is>
          <t>Medium</t>
        </is>
      </c>
      <c r="J167" s="123" t="inlineStr">
        <is>
          <t>New Stockholm office (2026); partners just moved</t>
        </is>
      </c>
      <c r="K167" s="123" t="inlineStr">
        <is>
          <t>Mid-career / next-generation: room to lead and build a practice; Moved firm in 2024-26: unlikely to move again soon; New Stockholm office (2026); partners just moved</t>
        </is>
      </c>
    </row>
    <row r="168">
      <c r="A168" s="122" t="inlineStr">
        <is>
          <t>C</t>
        </is>
      </c>
      <c r="B168" s="122" t="n">
        <v>-3</v>
      </c>
      <c r="C168" s="123" t="inlineStr">
        <is>
          <t>Adam Green</t>
        </is>
      </c>
      <c r="D168" s="123" t="inlineStr">
        <is>
          <t>Mannheimer Swartling</t>
        </is>
      </c>
      <c r="E168" s="123" t="inlineStr">
        <is>
          <t>Corporate / M&amp;A</t>
        </is>
      </c>
      <c r="F168" s="123" t="inlineStr">
        <is>
          <t>Corporate / M&amp;A: L500: Hall of Fame, CH: Senior Statespeople</t>
        </is>
      </c>
      <c r="G168" s="123" t="n"/>
      <c r="H168" s="122" t="n">
        <v>12</v>
      </c>
      <c r="I168" s="122" t="inlineStr">
        <is>
          <t>High</t>
        </is>
      </c>
      <c r="J168" s="123" t="inlineStr">
        <is>
          <t>Lockstep: profit pool ~SEK 8.7m/partner; 2 partner exits since 2024</t>
        </is>
      </c>
      <c r="K168" s="123" t="inlineStr">
        <is>
          <t>Senior market leader: hard to move; possible senior adviser / team anchor; Likely pay cut vs current profit share: needs equity / upside story</t>
        </is>
      </c>
    </row>
    <row r="169">
      <c r="A169" s="122" t="inlineStr">
        <is>
          <t>C</t>
        </is>
      </c>
      <c r="B169" s="122" t="n">
        <v>-3</v>
      </c>
      <c r="C169" s="123" t="inlineStr">
        <is>
          <t>Daniel Karlsson</t>
        </is>
      </c>
      <c r="D169" s="123" t="inlineStr">
        <is>
          <t>Mannheimer Swartling</t>
        </is>
      </c>
      <c r="E169" s="123" t="inlineStr">
        <is>
          <t>Banking &amp; finance</t>
        </is>
      </c>
      <c r="F169" s="123" t="inlineStr">
        <is>
          <t>Banking &amp; finance: L500: Leading partners, CH: Band 1</t>
        </is>
      </c>
      <c r="G169" s="123" t="n"/>
      <c r="H169" s="122" t="n">
        <v>17</v>
      </c>
      <c r="I169" s="122" t="inlineStr">
        <is>
          <t>High</t>
        </is>
      </c>
      <c r="J169" s="123" t="inlineStr">
        <is>
          <t>Lockstep: profit pool ~SEK 8.7m/partner; 2 partner exits since 2024</t>
        </is>
      </c>
      <c r="K169" s="123" t="inlineStr">
        <is>
          <t>Senior market leader: hard to move; possible senior adviser / team anchor; Likely pay cut vs current profit share: needs equity / upside story</t>
        </is>
      </c>
    </row>
    <row r="170">
      <c r="A170" s="122" t="inlineStr">
        <is>
          <t>C</t>
        </is>
      </c>
      <c r="B170" s="122" t="n">
        <v>-3</v>
      </c>
      <c r="C170" s="123" t="inlineStr">
        <is>
          <t>Jan Holmius</t>
        </is>
      </c>
      <c r="D170" s="123" t="inlineStr">
        <is>
          <t>Mannheimer Swartling</t>
        </is>
      </c>
      <c r="E170" s="123" t="inlineStr">
        <is>
          <t>Corporate / M&amp;A; Private equity</t>
        </is>
      </c>
      <c r="F170" s="123" t="inlineStr">
        <is>
          <t>Corporate / M&amp;A: L500: Leading partners, CH: Band 1 | Private equity: CH: Band 2</t>
        </is>
      </c>
      <c r="G170" s="123" t="n"/>
      <c r="H170" s="122" t="n">
        <v>20</v>
      </c>
      <c r="I170" s="122" t="inlineStr">
        <is>
          <t>High</t>
        </is>
      </c>
      <c r="J170" s="123" t="inlineStr">
        <is>
          <t>Lockstep: profit pool ~SEK 8.7m/partner; 2 partner exits since 2024</t>
        </is>
      </c>
      <c r="K170" s="123" t="inlineStr">
        <is>
          <t>Senior market leader: hard to move; possible senior adviser / team anchor; Likely pay cut vs current profit share: needs equity / upside story; Ranked in Corporate / M&amp;A &amp; Private equity</t>
        </is>
      </c>
    </row>
    <row r="171">
      <c r="A171" s="122" t="inlineStr">
        <is>
          <t>C</t>
        </is>
      </c>
      <c r="B171" s="122" t="n">
        <v>-3</v>
      </c>
      <c r="C171" s="123" t="inlineStr">
        <is>
          <t>Robin Oldenstam</t>
        </is>
      </c>
      <c r="D171" s="123" t="inlineStr">
        <is>
          <t>Mannheimer Swartling</t>
        </is>
      </c>
      <c r="E171" s="123" t="inlineStr">
        <is>
          <t>Dispute resolution</t>
        </is>
      </c>
      <c r="F171" s="123" t="inlineStr">
        <is>
          <t>Dispute resolution: L500: Hall of Fame, CH: Band 1</t>
        </is>
      </c>
      <c r="G171" s="123" t="n"/>
      <c r="H171" s="122" t="n">
        <v>19</v>
      </c>
      <c r="I171" s="122" t="inlineStr">
        <is>
          <t>High</t>
        </is>
      </c>
      <c r="J171" s="123" t="inlineStr">
        <is>
          <t>Lockstep: profit pool ~SEK 8.7m/partner; 2 partner exits since 2024</t>
        </is>
      </c>
      <c r="K171" s="123" t="inlineStr">
        <is>
          <t>Senior market leader: hard to move; possible senior adviser / team anchor; Likely pay cut vs current profit share: needs equity / upside story</t>
        </is>
      </c>
    </row>
    <row r="172">
      <c r="A172" s="122" t="inlineStr">
        <is>
          <t>C</t>
        </is>
      </c>
      <c r="B172" s="122" t="n">
        <v>-3</v>
      </c>
      <c r="C172" s="123" t="inlineStr">
        <is>
          <t>Louise Brorsson Salomon</t>
        </is>
      </c>
      <c r="D172" s="123" t="inlineStr">
        <is>
          <t>Vinge</t>
        </is>
      </c>
      <c r="E172" s="123" t="inlineStr">
        <is>
          <t>Banking &amp; finance</t>
        </is>
      </c>
      <c r="F172" s="123" t="inlineStr">
        <is>
          <t>Banking &amp; finance: CH: Eminent Practitioners</t>
        </is>
      </c>
      <c r="G172" s="123" t="n"/>
      <c r="H172" s="122" t="n">
        <v>10</v>
      </c>
      <c r="I172" s="122" t="inlineStr">
        <is>
          <t>High</t>
        </is>
      </c>
      <c r="J172" s="123" t="inlineStr">
        <is>
          <t>Profit pool ~SEK 7m/partner; individual-contribution model</t>
        </is>
      </c>
      <c r="K172" s="123" t="inlineStr">
        <is>
          <t>Senior market leader: hard to move; possible senior adviser / team anchor; Likely pay cut vs current profit share: needs equity / upside story</t>
        </is>
      </c>
    </row>
    <row r="173">
      <c r="A173" s="122" t="inlineStr">
        <is>
          <t>C</t>
        </is>
      </c>
      <c r="B173" s="122" t="n">
        <v>-3</v>
      </c>
      <c r="C173" s="123" t="inlineStr">
        <is>
          <t>Anders Reldén</t>
        </is>
      </c>
      <c r="D173" s="123" t="inlineStr">
        <is>
          <t>White &amp; Case</t>
        </is>
      </c>
      <c r="E173" s="123" t="inlineStr">
        <is>
          <t>Dispute resolution</t>
        </is>
      </c>
      <c r="F173" s="123" t="inlineStr">
        <is>
          <t>Dispute resolution: L500: Hall of Fame, CH: Band 1</t>
        </is>
      </c>
      <c r="G173" s="123" t="inlineStr">
        <is>
          <t>Partner</t>
        </is>
      </c>
      <c r="H173" s="122" t="n">
        <v>20</v>
      </c>
      <c r="I173" s="122" t="inlineStr">
        <is>
          <t>High</t>
        </is>
      </c>
      <c r="J173" s="123" t="inlineStr">
        <is>
          <t>Global LLP; ~SEK 69m revenue/partner</t>
        </is>
      </c>
      <c r="K173" s="123" t="inlineStr">
        <is>
          <t>Senior market leader: hard to move; possible senior adviser / team anchor; Likely pay cut vs current profit share: needs equity / upside story</t>
        </is>
      </c>
    </row>
    <row r="174">
      <c r="A174" s="122" t="inlineStr">
        <is>
          <t>C</t>
        </is>
      </c>
      <c r="B174" s="122" t="n">
        <v>-4</v>
      </c>
      <c r="C174" s="123" t="inlineStr">
        <is>
          <t>Björn Tude</t>
        </is>
      </c>
      <c r="D174" s="123" t="inlineStr">
        <is>
          <t>Gernandt &amp; Danielsson</t>
        </is>
      </c>
      <c r="E174" s="123" t="inlineStr">
        <is>
          <t>Dispute resolution</t>
        </is>
      </c>
      <c r="F174" s="123" t="inlineStr">
        <is>
          <t>Dispute resolution: L500: Hall of Fame, CH: Senior Statespeople</t>
        </is>
      </c>
      <c r="G174" s="123" t="inlineStr">
        <is>
          <t>Partner</t>
        </is>
      </c>
      <c r="H174" s="122" t="n">
        <v>20</v>
      </c>
      <c r="I174" s="122" t="inlineStr">
        <is>
          <t>High</t>
        </is>
      </c>
      <c r="J174" s="123" t="inlineStr">
        <is>
          <t>Net partner gainer (team lifts 2024-26)</t>
        </is>
      </c>
      <c r="K174" s="123" t="inlineStr">
        <is>
          <t>Senior market leader: hard to move; possible senior adviser / team anchor; Likely pay cut vs current profit share: needs equity / upside story</t>
        </is>
      </c>
    </row>
    <row r="175">
      <c r="A175" s="122" t="inlineStr">
        <is>
          <t>C</t>
        </is>
      </c>
      <c r="B175" s="122" t="n">
        <v>-4</v>
      </c>
      <c r="C175" s="123" t="inlineStr">
        <is>
          <t>Manfred Löfvenhaft</t>
        </is>
      </c>
      <c r="D175" s="123" t="inlineStr">
        <is>
          <t>Gernandt &amp; Danielsson</t>
        </is>
      </c>
      <c r="E175" s="123" t="inlineStr">
        <is>
          <t>Corporate / M&amp;A</t>
        </is>
      </c>
      <c r="F175" s="123" t="inlineStr">
        <is>
          <t>Corporate / M&amp;A: CH: Eminent Practitioners</t>
        </is>
      </c>
      <c r="G175" s="123" t="n"/>
      <c r="H175" s="122" t="n">
        <v>20</v>
      </c>
      <c r="I175" s="122" t="inlineStr">
        <is>
          <t>High</t>
        </is>
      </c>
      <c r="J175" s="123" t="inlineStr">
        <is>
          <t>Net partner gainer (team lifts 2024-26)</t>
        </is>
      </c>
      <c r="K175" s="123" t="inlineStr">
        <is>
          <t>Senior market leader: hard to move; possible senior adviser / team anchor; Likely pay cut vs current profit share: needs equity / upside story</t>
        </is>
      </c>
    </row>
    <row r="176">
      <c r="A176" s="122" t="inlineStr">
        <is>
          <t>C</t>
        </is>
      </c>
      <c r="B176" s="122" t="n">
        <v>-4</v>
      </c>
      <c r="C176" s="123" t="inlineStr">
        <is>
          <t>André Andersson</t>
        </is>
      </c>
      <c r="D176" s="123" t="inlineStr">
        <is>
          <t>Mannheimer Swartling</t>
        </is>
      </c>
      <c r="E176" s="123" t="inlineStr">
        <is>
          <t>Banking &amp; finance</t>
        </is>
      </c>
      <c r="F176" s="123" t="inlineStr">
        <is>
          <t>Banking &amp; finance: CH: Senior Statespeople</t>
        </is>
      </c>
      <c r="G176" s="123" t="n"/>
      <c r="H176" s="122" t="n">
        <v>20</v>
      </c>
      <c r="I176" s="122" t="inlineStr">
        <is>
          <t>High</t>
        </is>
      </c>
      <c r="J176" s="123" t="inlineStr">
        <is>
          <t>Lockstep: profit pool ~SEK 8.7m/partner; 2 partner exits since 2024</t>
        </is>
      </c>
      <c r="K176" s="123" t="inlineStr">
        <is>
          <t>Senior market leader: hard to move; possible senior adviser / team anchor; Likely pay cut vs current profit share: needs equity / upside story</t>
        </is>
      </c>
    </row>
    <row r="178">
      <c r="A178" s="45" t="inlineStr">
        <is>
          <t>Firm pay level = profit pool / revenue per partner from Sections C and E (High: MSA, Vinge, Setterwalls, Roschier, White &amp; Case, G&amp;D, Linklaters; Lower: Delphi, Lindahl, AGRD firms, smaller independents). MAQS profit pool ~SEK 2m/partner, so High-pay partners would need an equity/upside case.</t>
        </is>
      </c>
    </row>
    <row r="179">
      <c r="A179" s="45" t="inlineStr">
        <is>
          <t>Firm signals from Section F (2020-26 moves). Firm shown is as listed by the directory and may be out of date; verify current firm, title and office (Stockholm vs Göteborg/Malmö: MAQS Malmö vs Keelion Law post-split) before any approach.</t>
        </is>
      </c>
    </row>
    <row r="180">
      <c r="A180" s="45" t="inlineStr">
        <is>
          <t>Next steps: (1) agree target office(s) and practice priorities; (2) validate A/B names via firm websites and LinkedIn; (3) check non-compete / notice terms (Swedish partner agreements often 6-12 months); (4) prioritise team lifts (partner + associates) over individuals.</t>
        </is>
      </c>
    </row>
    <row r="181">
      <c r="A181" s="45" t="inlineStr">
        <is>
          <t>Source data: research/data/top_lawyers_chambers2026_legal500_sweden.json; chambers_lawyer_seniority.json; legal500_lawyer_profiles.json (extracted 13 Oct 2026).</t>
        </is>
      </c>
    </row>
  </sheetData>
  <autoFilter ref="A4:K176"/>
  <mergeCells count="1">
    <mergeCell ref="A2:K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4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style="112" min="1" max="1"/>
    <col width="26" customWidth="1" style="112" min="2" max="2"/>
    <col width="11" customWidth="1" style="112" min="3" max="3"/>
    <col width="10" customWidth="1" style="112" min="4" max="4"/>
    <col width="9" customWidth="1" style="112" min="5" max="5"/>
    <col width="10" customWidth="1" style="112" min="6" max="6"/>
    <col width="26" customWidth="1" style="112" min="7" max="7"/>
    <col width="9" customWidth="1" style="112" min="8" max="8"/>
    <col width="10" customWidth="1" style="112" min="9" max="9"/>
    <col width="10" customWidth="1" style="112" min="10" max="10"/>
    <col width="30" customWidth="1" style="112" min="11" max="11"/>
    <col width="10" customWidth="1" style="112" min="12" max="12"/>
    <col width="10" customWidth="1" style="112" min="13" max="13"/>
    <col width="10" customWidth="1" style="112" min="14" max="14"/>
    <col width="12" customWidth="1" style="112" min="15" max="15"/>
    <col width="12" customWidth="1" style="112" min="16" max="16"/>
    <col width="10" customWidth="1" style="112" min="17" max="17"/>
    <col width="40" customWidth="1" style="112" min="18" max="18"/>
  </cols>
  <sheetData>
    <row r="1">
      <c r="A1" s="1" t="inlineStr">
        <is>
          <t>Section C. Benchmarking: top 30 Swedish business law firms (replaces former A. Firms tab)</t>
        </is>
      </c>
    </row>
    <row r="2" ht="45" customHeight="1" s="112">
      <c r="A2" s="2" t="inlineStr">
        <is>
          <t>Ranking: Affärsvärlden fee income FY2024 (revised table, 3 Oct 2025; split-year firms on FY24/25). Ratios use the latest available revenue (FY2025 where published, else FY2024; basis shown) against current headcount (mostly Oct-2026), so they are indicative. Leverage (requested) = partners / total employees; partners / lawyers shown alongside. Grey = not available.</t>
        </is>
      </c>
    </row>
    <row r="4" ht="48" customHeight="1" s="112">
      <c r="A4" s="52" t="inlineStr">
        <is>
          <t>#</t>
        </is>
      </c>
      <c r="B4" s="52" t="inlineStr">
        <is>
          <t>Firm</t>
        </is>
      </c>
      <c r="C4" s="52" t="inlineStr">
        <is>
          <t>Afv fee income FY2024</t>
        </is>
      </c>
      <c r="D4" s="52" t="inlineStr">
        <is>
          <t>Afv FY2023</t>
        </is>
      </c>
      <c r="E4" s="52" t="inlineStr">
        <is>
          <t>Growth FY24</t>
        </is>
      </c>
      <c r="F4" s="52" t="inlineStr">
        <is>
          <t>Latest revenue</t>
        </is>
      </c>
      <c r="G4" s="52" t="inlineStr">
        <is>
          <t>Latest revenue basis</t>
        </is>
      </c>
      <c r="H4" s="52" t="inlineStr">
        <is>
          <t>Partners</t>
        </is>
      </c>
      <c r="I4" s="52" t="inlineStr">
        <is>
          <t>Lawyers (incl. partners)</t>
        </is>
      </c>
      <c r="J4" s="52" t="inlineStr">
        <is>
          <t>Total employees</t>
        </is>
      </c>
      <c r="K4" s="52" t="inlineStr">
        <is>
          <t>Headcount source</t>
        </is>
      </c>
      <c r="L4" s="52" t="inlineStr">
        <is>
          <t>Rev / partner</t>
        </is>
      </c>
      <c r="M4" s="52" t="inlineStr">
        <is>
          <t>Rev / employee</t>
        </is>
      </c>
      <c r="N4" s="52" t="inlineStr">
        <is>
          <t>Rev / lawyer</t>
        </is>
      </c>
      <c r="O4" s="52" t="inlineStr">
        <is>
          <t>Leverage: partners / employees</t>
        </is>
      </c>
      <c r="P4" s="52" t="inlineStr">
        <is>
          <t>Leverage: partners / lawyers</t>
        </is>
      </c>
      <c r="Q4" s="52" t="inlineStr">
        <is>
          <t>Employees per partner</t>
        </is>
      </c>
      <c r="R4" s="52" t="inlineStr">
        <is>
          <t>Notes</t>
        </is>
      </c>
    </row>
    <row r="5">
      <c r="A5" s="90" t="n">
        <v>1</v>
      </c>
      <c r="B5" s="49" t="inlineStr">
        <is>
          <t>Vinge</t>
        </is>
      </c>
      <c r="C5" s="100" t="n">
        <v>2085</v>
      </c>
      <c r="D5" s="100" t="n">
        <v>1751</v>
      </c>
      <c r="E5" s="101">
        <f>C5/D5-1</f>
        <v/>
      </c>
      <c r="F5" s="100" t="n">
        <v>2036</v>
      </c>
      <c r="G5" s="49" t="inlineStr">
        <is>
          <t>FY2025 group (annual reports, DJ)</t>
        </is>
      </c>
      <c r="H5" s="90" t="n">
        <v>71</v>
      </c>
      <c r="I5" s="90" t="n">
        <v>389</v>
      </c>
      <c r="J5" s="90" t="n">
        <v>529</v>
      </c>
      <c r="K5" s="49" t="inlineStr">
        <is>
          <t>Firm website count Oct-26; employees: 3 ABs 2025 accounts</t>
        </is>
      </c>
      <c r="L5" s="92">
        <f>F5/H5</f>
        <v/>
      </c>
      <c r="M5" s="93">
        <f>F5/J5</f>
        <v/>
      </c>
      <c r="N5" s="93">
        <f>F5/I5</f>
        <v/>
      </c>
      <c r="O5" s="101">
        <f>H5/J5</f>
        <v/>
      </c>
      <c r="P5" s="101">
        <f>H5/I5</f>
        <v/>
      </c>
      <c r="Q5" s="92">
        <f>J5/H5</f>
        <v/>
      </c>
      <c r="R5" s="49" t="inlineStr">
        <is>
          <t>Lawyers incl. ~46 on leave</t>
        </is>
      </c>
    </row>
    <row r="6">
      <c r="A6" s="90" t="n">
        <v>2</v>
      </c>
      <c r="B6" s="49" t="inlineStr">
        <is>
          <t>Mannheimer Swartling</t>
        </is>
      </c>
      <c r="C6" s="100" t="n">
        <v>1911</v>
      </c>
      <c r="D6" s="100" t="n">
        <v>1807</v>
      </c>
      <c r="E6" s="101">
        <f>C6/D6-1</f>
        <v/>
      </c>
      <c r="F6" s="100" t="n">
        <v>2002</v>
      </c>
      <c r="G6" s="49" t="inlineStr">
        <is>
          <t>FY2025 (annual report)</t>
        </is>
      </c>
      <c r="H6" s="90" t="n">
        <v>92</v>
      </c>
      <c r="I6" s="90" t="n">
        <v>430</v>
      </c>
      <c r="J6" s="90" t="n">
        <v>649</v>
      </c>
      <c r="K6" s="49" t="inlineStr">
        <is>
          <t>DJ/Chambers 2026; employees 2025 accounts</t>
        </is>
      </c>
      <c r="L6" s="92">
        <f>F6/H6</f>
        <v/>
      </c>
      <c r="M6" s="93">
        <f>F6/J6</f>
        <v/>
      </c>
      <c r="N6" s="93">
        <f>F6/I6</f>
        <v/>
      </c>
      <c r="O6" s="101">
        <f>H6/J6</f>
        <v/>
      </c>
      <c r="P6" s="101">
        <f>H6/I6</f>
        <v/>
      </c>
      <c r="Q6" s="92">
        <f>J6/H6</f>
        <v/>
      </c>
      <c r="R6" s="49" t="inlineStr"/>
    </row>
    <row r="7">
      <c r="A7" s="90" t="n">
        <v>3</v>
      </c>
      <c r="B7" s="49" t="inlineStr">
        <is>
          <t>Roschier (Sweden)</t>
        </is>
      </c>
      <c r="C7" s="100" t="n">
        <v>1254</v>
      </c>
      <c r="D7" s="100" t="n">
        <v>1026</v>
      </c>
      <c r="E7" s="101">
        <f>C7/D7-1</f>
        <v/>
      </c>
      <c r="F7" s="100" t="n">
        <v>1304</v>
      </c>
      <c r="G7" s="49" t="inlineStr">
        <is>
          <t>FY Jun25-May26 net sales (AB)</t>
        </is>
      </c>
      <c r="H7" s="90" t="n">
        <v>26</v>
      </c>
      <c r="I7" s="90" t="n">
        <v>181</v>
      </c>
      <c r="J7" s="90" t="n">
        <v>220</v>
      </c>
      <c r="K7" s="49" t="inlineStr">
        <is>
          <t>Firm website count Oct-26 (Stockholm); employees AB accounts</t>
        </is>
      </c>
      <c r="L7" s="92">
        <f>F7/H7</f>
        <v/>
      </c>
      <c r="M7" s="93">
        <f>F7/J7</f>
        <v/>
      </c>
      <c r="N7" s="93">
        <f>F7/I7</f>
        <v/>
      </c>
      <c r="O7" s="101">
        <f>H7/J7</f>
        <v/>
      </c>
      <c r="P7" s="101">
        <f>H7/I7</f>
        <v/>
      </c>
      <c r="Q7" s="92">
        <f>J7/H7</f>
        <v/>
      </c>
      <c r="R7" s="49" t="inlineStr">
        <is>
          <t>Split year; Afv FY24 = FY Jun24-May25</t>
        </is>
      </c>
    </row>
    <row r="8">
      <c r="A8" s="90" t="n">
        <v>4</v>
      </c>
      <c r="B8" s="49" t="inlineStr">
        <is>
          <t>Setterwalls</t>
        </is>
      </c>
      <c r="C8" s="100" t="n">
        <v>918</v>
      </c>
      <c r="D8" s="100" t="n">
        <v>899</v>
      </c>
      <c r="E8" s="101">
        <f>C8/D8-1</f>
        <v/>
      </c>
      <c r="F8" s="100" t="n">
        <v>1000</v>
      </c>
      <c r="G8" s="49" t="inlineStr">
        <is>
          <t>FY2025 (Afv "&gt;1bn")</t>
        </is>
      </c>
      <c r="H8" s="90" t="n">
        <v>38</v>
      </c>
      <c r="I8" s="90" t="n">
        <v>177</v>
      </c>
      <c r="J8" s="90" t="n">
        <v>306</v>
      </c>
      <c r="K8" s="49" t="inlineStr">
        <is>
          <t>Firm website count Oct-26; employees 3 entities 2025</t>
        </is>
      </c>
      <c r="L8" s="92">
        <f>F8/H8</f>
        <v/>
      </c>
      <c r="M8" s="93">
        <f>F8/J8</f>
        <v/>
      </c>
      <c r="N8" s="93">
        <f>F8/I8</f>
        <v/>
      </c>
      <c r="O8" s="101">
        <f>H8/J8</f>
        <v/>
      </c>
      <c r="P8" s="101">
        <f>H8/I8</f>
        <v/>
      </c>
      <c r="Q8" s="92">
        <f>J8/H8</f>
        <v/>
      </c>
      <c r="R8" s="49" t="inlineStr">
        <is>
          <t>Revenue/employees incl. Malmö (left Sep-26); partners/lawyers exclude it</t>
        </is>
      </c>
    </row>
    <row r="9">
      <c r="A9" s="90" t="n">
        <v>5</v>
      </c>
      <c r="B9" s="49" t="inlineStr">
        <is>
          <t>Lindahl</t>
        </is>
      </c>
      <c r="C9" s="100" t="n">
        <v>737</v>
      </c>
      <c r="D9" s="100" t="n">
        <v>707</v>
      </c>
      <c r="E9" s="101">
        <f>C9/D9-1</f>
        <v/>
      </c>
      <c r="F9" s="100" t="n">
        <v>737</v>
      </c>
      <c r="G9" s="49" t="inlineStr">
        <is>
          <t>FY2024 (Afv)</t>
        </is>
      </c>
      <c r="H9" s="90" t="n">
        <v>68</v>
      </c>
      <c r="I9" s="90" t="n">
        <v>220</v>
      </c>
      <c r="J9" s="90" t="n">
        <v>300</v>
      </c>
      <c r="K9" s="49" t="inlineStr">
        <is>
          <t>Legal 500 / Chambers (firm-supplied)</t>
        </is>
      </c>
      <c r="L9" s="92">
        <f>F9/H9</f>
        <v/>
      </c>
      <c r="M9" s="93">
        <f>F9/J9</f>
        <v/>
      </c>
      <c r="N9" s="93">
        <f>F9/I9</f>
        <v/>
      </c>
      <c r="O9" s="101">
        <f>H9/J9</f>
        <v/>
      </c>
      <c r="P9" s="101">
        <f>H9/I9</f>
        <v/>
      </c>
      <c r="Q9" s="92">
        <f>J9/H9</f>
        <v/>
      </c>
      <c r="R9" s="49" t="inlineStr"/>
    </row>
    <row r="10">
      <c r="A10" s="90" t="n">
        <v>6</v>
      </c>
      <c r="B10" s="49" t="inlineStr">
        <is>
          <t>Gernandt &amp; Danielsson</t>
        </is>
      </c>
      <c r="C10" s="100" t="n">
        <v>676</v>
      </c>
      <c r="D10" s="100" t="n">
        <v>601</v>
      </c>
      <c r="E10" s="101">
        <f>C10/D10-1</f>
        <v/>
      </c>
      <c r="F10" s="100" t="n">
        <v>676</v>
      </c>
      <c r="G10" s="49" t="inlineStr">
        <is>
          <t>FY24/25 (Afv)</t>
        </is>
      </c>
      <c r="H10" s="90" t="n">
        <v>20</v>
      </c>
      <c r="I10" s="90" t="n">
        <v>91</v>
      </c>
      <c r="J10" s="90" t="n">
        <v>150</v>
      </c>
      <c r="K10" s="49" t="inlineStr">
        <is>
          <t>Firm website count Oct-26; employees firm website</t>
        </is>
      </c>
      <c r="L10" s="92">
        <f>F10/H10</f>
        <v/>
      </c>
      <c r="M10" s="93">
        <f>F10/J10</f>
        <v/>
      </c>
      <c r="N10" s="93">
        <f>F10/I10</f>
        <v/>
      </c>
      <c r="O10" s="101">
        <f>H10/J10</f>
        <v/>
      </c>
      <c r="P10" s="101">
        <f>H10/I10</f>
        <v/>
      </c>
      <c r="Q10" s="92">
        <f>J10/H10</f>
        <v/>
      </c>
      <c r="R10" s="49" t="inlineStr">
        <is>
          <t>KB - no public accounts</t>
        </is>
      </c>
    </row>
    <row r="11">
      <c r="A11" s="90" t="n">
        <v>7</v>
      </c>
      <c r="B11" s="49" t="inlineStr">
        <is>
          <t>DLA Piper (Sweden)</t>
        </is>
      </c>
      <c r="C11" s="100" t="n">
        <v>602</v>
      </c>
      <c r="D11" s="100" t="n">
        <v>660</v>
      </c>
      <c r="E11" s="101">
        <f>C11/D11-1</f>
        <v/>
      </c>
      <c r="F11" s="100" t="n">
        <v>602</v>
      </c>
      <c r="G11" s="49" t="inlineStr">
        <is>
          <t>FY24/25 (Afv)</t>
        </is>
      </c>
      <c r="H11" s="90" t="n">
        <v>37</v>
      </c>
      <c r="I11" s="90" t="n">
        <v>148</v>
      </c>
      <c r="J11" s="98" t="n"/>
      <c r="K11" s="49" t="inlineStr">
        <is>
          <t>Firm website count Oct-26</t>
        </is>
      </c>
      <c r="L11" s="92">
        <f>F11/H11</f>
        <v/>
      </c>
      <c r="M11" s="98" t="n"/>
      <c r="N11" s="93">
        <f>F11/I11</f>
        <v/>
      </c>
      <c r="O11" s="98" t="n"/>
      <c r="P11" s="101">
        <f>H11/I11</f>
        <v/>
      </c>
      <c r="Q11" s="98" t="n"/>
      <c r="R11" s="49" t="inlineStr">
        <is>
          <t>Employees: allabolag band 200-499 only</t>
        </is>
      </c>
    </row>
    <row r="12">
      <c r="A12" s="90" t="n">
        <v>8</v>
      </c>
      <c r="B12" s="49" t="inlineStr">
        <is>
          <t>CMS Wistrand</t>
        </is>
      </c>
      <c r="C12" s="100" t="n">
        <v>558</v>
      </c>
      <c r="D12" s="100" t="n">
        <v>529</v>
      </c>
      <c r="E12" s="101">
        <f>C12/D12-1</f>
        <v/>
      </c>
      <c r="F12" s="100" t="n">
        <v>558</v>
      </c>
      <c r="G12" s="49" t="inlineStr">
        <is>
          <t>FY2024 (Afv)</t>
        </is>
      </c>
      <c r="H12" s="90" t="n">
        <v>51</v>
      </c>
      <c r="I12" s="90" t="n">
        <v>150</v>
      </c>
      <c r="J12" s="90" t="n">
        <v>220</v>
      </c>
      <c r="K12" s="49" t="inlineStr">
        <is>
          <t>Firm statement / Chambers 2026 ("&gt;220")</t>
        </is>
      </c>
      <c r="L12" s="92">
        <f>F12/H12</f>
        <v/>
      </c>
      <c r="M12" s="93">
        <f>F12/J12</f>
        <v/>
      </c>
      <c r="N12" s="93">
        <f>F12/I12</f>
        <v/>
      </c>
      <c r="O12" s="101">
        <f>H12/J12</f>
        <v/>
      </c>
      <c r="P12" s="101">
        <f>H12/I12</f>
        <v/>
      </c>
      <c r="Q12" s="92">
        <f>J12/H12</f>
        <v/>
      </c>
      <c r="R12" s="49" t="inlineStr"/>
    </row>
    <row r="13">
      <c r="A13" s="90" t="n">
        <v>9</v>
      </c>
      <c r="B13" s="49" t="inlineStr">
        <is>
          <t>Delphi</t>
        </is>
      </c>
      <c r="C13" s="100" t="n">
        <v>516</v>
      </c>
      <c r="D13" s="100" t="n">
        <v>505</v>
      </c>
      <c r="E13" s="101">
        <f>C13/D13-1</f>
        <v/>
      </c>
      <c r="F13" s="100" t="n">
        <v>516</v>
      </c>
      <c r="G13" s="49" t="inlineStr">
        <is>
          <t>FY2024 (Afv)</t>
        </is>
      </c>
      <c r="H13" s="90" t="n">
        <v>49</v>
      </c>
      <c r="I13" s="90" t="n">
        <v>150</v>
      </c>
      <c r="J13" s="90" t="n">
        <v>220</v>
      </c>
      <c r="K13" s="49" t="inlineStr">
        <is>
          <t>Chambers 2026 / firm website</t>
        </is>
      </c>
      <c r="L13" s="92">
        <f>F13/H13</f>
        <v/>
      </c>
      <c r="M13" s="93">
        <f>F13/J13</f>
        <v/>
      </c>
      <c r="N13" s="93">
        <f>F13/I13</f>
        <v/>
      </c>
      <c r="O13" s="101">
        <f>H13/J13</f>
        <v/>
      </c>
      <c r="P13" s="101">
        <f>H13/I13</f>
        <v/>
      </c>
      <c r="Q13" s="92">
        <f>J13/H13</f>
        <v/>
      </c>
      <c r="R13" s="49" t="inlineStr"/>
    </row>
    <row r="14">
      <c r="A14" s="90" t="n">
        <v>10</v>
      </c>
      <c r="B14" s="49" t="inlineStr">
        <is>
          <t>Cederquist</t>
        </is>
      </c>
      <c r="C14" s="100" t="n">
        <v>500</v>
      </c>
      <c r="D14" s="100" t="n">
        <v>472</v>
      </c>
      <c r="E14" s="101">
        <f>C14/D14-1</f>
        <v/>
      </c>
      <c r="F14" s="100" t="n">
        <v>500</v>
      </c>
      <c r="G14" s="49" t="inlineStr">
        <is>
          <t>FY2024 (Afv)</t>
        </is>
      </c>
      <c r="H14" s="90" t="n">
        <v>26</v>
      </c>
      <c r="I14" s="90" t="n">
        <v>124</v>
      </c>
      <c r="J14" s="98" t="n"/>
      <c r="K14" s="49" t="inlineStr">
        <is>
          <t>Legal 500 (firm-supplied)</t>
        </is>
      </c>
      <c r="L14" s="92">
        <f>F14/H14</f>
        <v/>
      </c>
      <c r="M14" s="98" t="n"/>
      <c r="N14" s="93">
        <f>F14/I14</f>
        <v/>
      </c>
      <c r="O14" s="98" t="n"/>
      <c r="P14" s="101">
        <f>H14/I14</f>
        <v/>
      </c>
      <c r="Q14" s="98" t="n"/>
      <c r="R14" s="49" t="inlineStr">
        <is>
          <t>KB - no public accounts; Chambers 120 lawyers</t>
        </is>
      </c>
    </row>
    <row r="15">
      <c r="A15" s="90" t="n">
        <v>11</v>
      </c>
      <c r="B15" s="49" t="inlineStr">
        <is>
          <t>Schjødt (Sweden)</t>
        </is>
      </c>
      <c r="C15" s="100" t="n">
        <v>427</v>
      </c>
      <c r="D15" s="100" t="n">
        <v>343</v>
      </c>
      <c r="E15" s="101">
        <f>C15/D15-1</f>
        <v/>
      </c>
      <c r="F15" s="100" t="n">
        <v>534</v>
      </c>
      <c r="G15" s="49" t="inlineStr">
        <is>
          <t>FY2025 est. ("&gt;0.5bn", +25%)</t>
        </is>
      </c>
      <c r="H15" s="90" t="n">
        <v>20</v>
      </c>
      <c r="I15" s="90" t="n">
        <v>65</v>
      </c>
      <c r="J15" s="98" t="n"/>
      <c r="K15" s="49" t="inlineStr">
        <is>
          <t>Firm website count Oct-26 (Stockholm)</t>
        </is>
      </c>
      <c r="L15" s="92">
        <f>F15/H15</f>
        <v/>
      </c>
      <c r="M15" s="98" t="n"/>
      <c r="N15" s="93">
        <f>F15/I15</f>
        <v/>
      </c>
      <c r="O15" s="98" t="n"/>
      <c r="P15" s="101">
        <f>H15/I15</f>
        <v/>
      </c>
      <c r="Q15" s="98" t="n"/>
      <c r="R15" s="49" t="inlineStr">
        <is>
          <t>May include leavers to BAHR; branch band 50-99 employees</t>
        </is>
      </c>
    </row>
    <row r="16">
      <c r="A16" s="90" t="n">
        <v>12</v>
      </c>
      <c r="B16" s="49" t="inlineStr">
        <is>
          <t>MAQS</t>
        </is>
      </c>
      <c r="C16" s="100" t="n">
        <v>417</v>
      </c>
      <c r="D16" s="100" t="n">
        <v>346</v>
      </c>
      <c r="E16" s="101">
        <f>C16/D16-1</f>
        <v/>
      </c>
      <c r="F16" s="100" t="n">
        <v>417</v>
      </c>
      <c r="G16" s="49" t="inlineStr">
        <is>
          <t>FY2024 (Afv)</t>
        </is>
      </c>
      <c r="H16" s="90" t="n">
        <v>48</v>
      </c>
      <c r="I16" s="90" t="n">
        <v>144</v>
      </c>
      <c r="J16" s="90" t="n">
        <v>180</v>
      </c>
      <c r="K16" s="49" t="inlineStr">
        <is>
          <t>Firm website count Oct-26; employees Chambers 2026</t>
        </is>
      </c>
      <c r="L16" s="92">
        <f>F16/H16</f>
        <v/>
      </c>
      <c r="M16" s="93">
        <f>F16/J16</f>
        <v/>
      </c>
      <c r="N16" s="93">
        <f>F16/I16</f>
        <v/>
      </c>
      <c r="O16" s="101">
        <f>H16/J16</f>
        <v/>
      </c>
      <c r="P16" s="101">
        <f>H16/I16</f>
        <v/>
      </c>
      <c r="Q16" s="92">
        <f>J16/H16</f>
        <v/>
      </c>
      <c r="R16" s="49" t="inlineStr">
        <is>
          <t>Splitting from 1 Jan 2027: Malmö (MAQS KB) vs Sthlm/Gbg/Sundsvall (MAQS AB)</t>
        </is>
      </c>
    </row>
    <row r="17">
      <c r="A17" s="90" t="n">
        <v>13</v>
      </c>
      <c r="B17" s="49" t="inlineStr">
        <is>
          <t>Cirio</t>
        </is>
      </c>
      <c r="C17" s="100" t="n">
        <v>363</v>
      </c>
      <c r="D17" s="100" t="n">
        <v>317</v>
      </c>
      <c r="E17" s="101">
        <f>C17/D17-1</f>
        <v/>
      </c>
      <c r="F17" s="100" t="n">
        <v>431</v>
      </c>
      <c r="G17" s="49" t="inlineStr">
        <is>
          <t>FY2025 net sales (AB)</t>
        </is>
      </c>
      <c r="H17" s="90" t="n">
        <v>27</v>
      </c>
      <c r="I17" s="90" t="n">
        <v>76</v>
      </c>
      <c r="J17" s="90" t="n">
        <v>127</v>
      </c>
      <c r="K17" s="49" t="inlineStr">
        <is>
          <t>Legal 500; employees 2025 accounts</t>
        </is>
      </c>
      <c r="L17" s="92">
        <f>F17/H17</f>
        <v/>
      </c>
      <c r="M17" s="93">
        <f>F17/J17</f>
        <v/>
      </c>
      <c r="N17" s="93">
        <f>F17/I17</f>
        <v/>
      </c>
      <c r="O17" s="101">
        <f>H17/J17</f>
        <v/>
      </c>
      <c r="P17" s="101">
        <f>H17/I17</f>
        <v/>
      </c>
      <c r="Q17" s="92">
        <f>J17/H17</f>
        <v/>
      </c>
      <c r="R17" s="49" t="inlineStr"/>
    </row>
    <row r="18">
      <c r="A18" s="90" t="n">
        <v>14</v>
      </c>
      <c r="B18" s="49" t="inlineStr">
        <is>
          <t>Snellman (Sweden)</t>
        </is>
      </c>
      <c r="C18" s="100" t="n">
        <v>295</v>
      </c>
      <c r="D18" s="100" t="n">
        <v>300</v>
      </c>
      <c r="E18" s="101">
        <f>C18/D18-1</f>
        <v/>
      </c>
      <c r="F18" s="100" t="n">
        <v>279</v>
      </c>
      <c r="G18" s="49" t="inlineStr">
        <is>
          <t>FY2025 net sales (AB)</t>
        </is>
      </c>
      <c r="H18" s="90" t="n">
        <v>17</v>
      </c>
      <c r="I18" s="98" t="n"/>
      <c r="J18" s="90" t="n">
        <v>107</v>
      </c>
      <c r="K18" s="49" t="inlineStr">
        <is>
          <t>Legal 500 (stale); employees 2025 accounts</t>
        </is>
      </c>
      <c r="L18" s="92">
        <f>F18/H18</f>
        <v/>
      </c>
      <c r="M18" s="93">
        <f>F18/J18</f>
        <v/>
      </c>
      <c r="N18" s="98" t="n"/>
      <c r="O18" s="101">
        <f>H18/J18</f>
        <v/>
      </c>
      <c r="P18" s="98" t="n"/>
      <c r="Q18" s="92">
        <f>J18/H18</f>
        <v/>
      </c>
      <c r="R18" s="49" t="inlineStr">
        <is>
          <t>Partner count unverified</t>
        </is>
      </c>
    </row>
    <row r="19">
      <c r="A19" s="90" t="n">
        <v>15</v>
      </c>
      <c r="B19" s="49" t="inlineStr">
        <is>
          <t>Foyen</t>
        </is>
      </c>
      <c r="C19" s="100" t="n">
        <v>277</v>
      </c>
      <c r="D19" s="100" t="n">
        <v>263</v>
      </c>
      <c r="E19" s="101">
        <f>C19/D19-1</f>
        <v/>
      </c>
      <c r="F19" s="100" t="n">
        <v>277</v>
      </c>
      <c r="G19" s="49" t="inlineStr">
        <is>
          <t>FY2024 (Afv)</t>
        </is>
      </c>
      <c r="H19" s="90" t="n">
        <v>23</v>
      </c>
      <c r="I19" s="90" t="n">
        <v>73</v>
      </c>
      <c r="J19" s="90" t="n">
        <v>106</v>
      </c>
      <c r="K19" s="49" t="inlineStr">
        <is>
          <t>Firm website count Oct-26; employees AB accounts</t>
        </is>
      </c>
      <c r="L19" s="92">
        <f>F19/H19</f>
        <v/>
      </c>
      <c r="M19" s="93">
        <f>F19/J19</f>
        <v/>
      </c>
      <c r="N19" s="93">
        <f>F19/I19</f>
        <v/>
      </c>
      <c r="O19" s="101">
        <f>H19/J19</f>
        <v/>
      </c>
      <c r="P19" s="101">
        <f>H19/I19</f>
        <v/>
      </c>
      <c r="Q19" s="92">
        <f>J19/H19</f>
        <v/>
      </c>
      <c r="R19" s="49" t="inlineStr"/>
    </row>
    <row r="20">
      <c r="A20" s="90" t="n">
        <v>16</v>
      </c>
      <c r="B20" s="49" t="inlineStr">
        <is>
          <t>AG Advokat</t>
        </is>
      </c>
      <c r="C20" s="100" t="n">
        <v>198</v>
      </c>
      <c r="D20" s="100" t="n">
        <v>228</v>
      </c>
      <c r="E20" s="101">
        <f>C20/D20-1</f>
        <v/>
      </c>
      <c r="F20" s="100" t="n">
        <v>198</v>
      </c>
      <c r="G20" s="49" t="inlineStr">
        <is>
          <t>FY2024 (Afv)</t>
        </is>
      </c>
      <c r="H20" s="98" t="n"/>
      <c r="I20" s="90" t="n">
        <v>41</v>
      </c>
      <c r="J20" s="98" t="n"/>
      <c r="K20" s="49" t="inlineStr">
        <is>
          <t>Legal 500</t>
        </is>
      </c>
      <c r="L20" s="98" t="n"/>
      <c r="M20" s="98" t="n"/>
      <c r="N20" s="93">
        <f>F20/I20</f>
        <v/>
      </c>
      <c r="O20" s="98" t="n"/>
      <c r="P20" s="98" t="n"/>
      <c r="Q20" s="98" t="n"/>
      <c r="R20" s="49" t="inlineStr">
        <is>
          <t>Lost 12-person team to Cirio (Jan-25)</t>
        </is>
      </c>
    </row>
    <row r="21">
      <c r="A21" s="90" t="n">
        <v>17</v>
      </c>
      <c r="B21" s="49" t="inlineStr">
        <is>
          <t>Glimstedt</t>
        </is>
      </c>
      <c r="C21" s="100" t="n">
        <v>196</v>
      </c>
      <c r="D21" s="100" t="n">
        <v>174</v>
      </c>
      <c r="E21" s="101">
        <f>C21/D21-1</f>
        <v/>
      </c>
      <c r="F21" s="100" t="n">
        <v>196</v>
      </c>
      <c r="G21" s="49" t="inlineStr">
        <is>
          <t>FY2024 (Afv)</t>
        </is>
      </c>
      <c r="H21" s="90" t="n">
        <v>41</v>
      </c>
      <c r="I21" s="90" t="n">
        <v>78</v>
      </c>
      <c r="J21" s="98" t="n"/>
      <c r="K21" s="49" t="inlineStr">
        <is>
          <t>Firm website count Oct-26 (Sweden)</t>
        </is>
      </c>
      <c r="L21" s="92">
        <f>F21/H21</f>
        <v/>
      </c>
      <c r="M21" s="98" t="n"/>
      <c r="N21" s="93">
        <f>F21/I21</f>
        <v/>
      </c>
      <c r="O21" s="98" t="n"/>
      <c r="P21" s="101">
        <f>H21/I21</f>
        <v/>
      </c>
      <c r="Q21" s="98" t="n"/>
      <c r="R21" s="49" t="inlineStr">
        <is>
          <t>~200 staff incl. Baltics (not used)</t>
        </is>
      </c>
    </row>
    <row r="22">
      <c r="A22" s="90" t="n">
        <v>18</v>
      </c>
      <c r="B22" s="49" t="inlineStr">
        <is>
          <t>TM &amp; Partners</t>
        </is>
      </c>
      <c r="C22" s="100" t="n">
        <v>188</v>
      </c>
      <c r="D22" s="100" t="n">
        <v>175</v>
      </c>
      <c r="E22" s="101">
        <f>C22/D22-1</f>
        <v/>
      </c>
      <c r="F22" s="100" t="n">
        <v>188</v>
      </c>
      <c r="G22" s="49" t="inlineStr">
        <is>
          <t>FY2024 (Afv)</t>
        </is>
      </c>
      <c r="H22" s="90" t="n">
        <v>18</v>
      </c>
      <c r="I22" s="90" t="n">
        <v>63</v>
      </c>
      <c r="J22" s="98" t="n"/>
      <c r="K22" s="49" t="inlineStr">
        <is>
          <t>Firm website count Oct-26</t>
        </is>
      </c>
      <c r="L22" s="92">
        <f>F22/H22</f>
        <v/>
      </c>
      <c r="M22" s="98" t="n"/>
      <c r="N22" s="93">
        <f>F22/I22</f>
        <v/>
      </c>
      <c r="O22" s="98" t="n"/>
      <c r="P22" s="101">
        <f>H22/I22</f>
        <v/>
      </c>
      <c r="Q22" s="98" t="n"/>
      <c r="R22" s="49" t="inlineStr">
        <is>
          <t>Part of AGRD since 2025; AB (73 staff) is partial</t>
        </is>
      </c>
    </row>
    <row r="23">
      <c r="A23" s="90" t="n">
        <v>19</v>
      </c>
      <c r="B23" s="49" t="inlineStr">
        <is>
          <t>WSA</t>
        </is>
      </c>
      <c r="C23" s="100" t="n">
        <v>165</v>
      </c>
      <c r="D23" s="100" t="n">
        <v>164</v>
      </c>
      <c r="E23" s="101">
        <f>C23/D23-1</f>
        <v/>
      </c>
      <c r="F23" s="100" t="n">
        <v>165</v>
      </c>
      <c r="G23" s="49" t="inlineStr">
        <is>
          <t>FY2024 (Afv)</t>
        </is>
      </c>
      <c r="H23" s="98" t="n"/>
      <c r="I23" s="98" t="n"/>
      <c r="J23" s="98" t="n"/>
      <c r="K23" s="49" t="inlineStr"/>
      <c r="L23" s="98" t="n"/>
      <c r="M23" s="98" t="n"/>
      <c r="N23" s="98" t="n"/>
      <c r="O23" s="98" t="n"/>
      <c r="P23" s="98" t="n"/>
      <c r="Q23" s="98" t="n"/>
      <c r="R23" s="49" t="inlineStr">
        <is>
          <t>Headcount not researched</t>
        </is>
      </c>
    </row>
    <row r="24">
      <c r="A24" s="90" t="n">
        <v>20</v>
      </c>
      <c r="B24" s="49" t="inlineStr">
        <is>
          <t>Morris Law</t>
        </is>
      </c>
      <c r="C24" s="100" t="n">
        <v>163</v>
      </c>
      <c r="D24" s="100" t="n">
        <v>151</v>
      </c>
      <c r="E24" s="101">
        <f>C24/D24-1</f>
        <v/>
      </c>
      <c r="F24" s="100" t="n">
        <v>163</v>
      </c>
      <c r="G24" s="49" t="inlineStr">
        <is>
          <t>FY2024 (Afv)</t>
        </is>
      </c>
      <c r="H24" s="98" t="n"/>
      <c r="I24" s="90" t="n">
        <v>56</v>
      </c>
      <c r="J24" s="98" t="n"/>
      <c r="K24" s="49" t="inlineStr">
        <is>
          <t>Legal 500</t>
        </is>
      </c>
      <c r="L24" s="98" t="n"/>
      <c r="M24" s="98" t="n"/>
      <c r="N24" s="93">
        <f>F24/I24</f>
        <v/>
      </c>
      <c r="O24" s="98" t="n"/>
      <c r="P24" s="98" t="n"/>
      <c r="Q24" s="98" t="n"/>
      <c r="R24" s="49" t="inlineStr">
        <is>
          <t>Part of AGRD since 2025</t>
        </is>
      </c>
    </row>
    <row r="25">
      <c r="A25" s="90" t="n">
        <v>21</v>
      </c>
      <c r="B25" s="49" t="inlineStr">
        <is>
          <t>Hammarskiöld</t>
        </is>
      </c>
      <c r="C25" s="100" t="n">
        <v>158</v>
      </c>
      <c r="D25" s="100" t="n">
        <v>133</v>
      </c>
      <c r="E25" s="101">
        <f>C25/D25-1</f>
        <v/>
      </c>
      <c r="F25" s="100" t="n">
        <v>178</v>
      </c>
      <c r="G25" s="49" t="inlineStr">
        <is>
          <t>FY2025 net sales (AB)</t>
        </is>
      </c>
      <c r="H25" s="98" t="n"/>
      <c r="I25" s="90" t="n">
        <v>47</v>
      </c>
      <c r="J25" s="90" t="n">
        <v>63</v>
      </c>
      <c r="K25" s="49" t="inlineStr">
        <is>
          <t>Chambers 2026; employees 2025 accounts</t>
        </is>
      </c>
      <c r="L25" s="98" t="n"/>
      <c r="M25" s="93">
        <f>F25/J25</f>
        <v/>
      </c>
      <c r="N25" s="93">
        <f>F25/I25</f>
        <v/>
      </c>
      <c r="O25" s="98" t="n"/>
      <c r="P25" s="98" t="n"/>
      <c r="Q25" s="98" t="n"/>
      <c r="R25" s="49" t="inlineStr"/>
    </row>
    <row r="26">
      <c r="A26" s="90" t="n">
        <v>22</v>
      </c>
      <c r="B26" s="49" t="inlineStr">
        <is>
          <t>Wigge &amp; Partners</t>
        </is>
      </c>
      <c r="C26" s="100" t="n">
        <v>146</v>
      </c>
      <c r="D26" s="100" t="n">
        <v>122</v>
      </c>
      <c r="E26" s="101">
        <f>C26/D26-1</f>
        <v/>
      </c>
      <c r="F26" s="100" t="n">
        <v>146</v>
      </c>
      <c r="G26" s="49" t="inlineStr">
        <is>
          <t>FY2024 (Afv)</t>
        </is>
      </c>
      <c r="H26" s="90" t="n">
        <v>11</v>
      </c>
      <c r="I26" s="90" t="n">
        <v>40</v>
      </c>
      <c r="J26" s="98" t="n"/>
      <c r="K26" s="49" t="inlineStr">
        <is>
          <t>Firm website count Oct-26</t>
        </is>
      </c>
      <c r="L26" s="92">
        <f>F26/H26</f>
        <v/>
      </c>
      <c r="M26" s="98" t="n"/>
      <c r="N26" s="93">
        <f>F26/I26</f>
        <v/>
      </c>
      <c r="O26" s="98" t="n"/>
      <c r="P26" s="101">
        <f>H26/I26</f>
        <v/>
      </c>
      <c r="Q26" s="98" t="n"/>
      <c r="R26" s="49" t="inlineStr">
        <is>
          <t>Service AB (53 staff) is partial; joined AGRD Jan-26</t>
        </is>
      </c>
    </row>
    <row r="27">
      <c r="A27" s="90" t="n">
        <v>23</v>
      </c>
      <c r="B27" s="49" t="inlineStr">
        <is>
          <t>Gulliksson</t>
        </is>
      </c>
      <c r="C27" s="100" t="n">
        <v>141</v>
      </c>
      <c r="D27" s="100" t="n">
        <v>117</v>
      </c>
      <c r="E27" s="101">
        <f>C27/D27-1</f>
        <v/>
      </c>
      <c r="F27" s="100" t="n">
        <v>141</v>
      </c>
      <c r="G27" s="49" t="inlineStr">
        <is>
          <t>FY2024 (Afv)</t>
        </is>
      </c>
      <c r="H27" s="98" t="n"/>
      <c r="I27" s="90" t="n">
        <v>41</v>
      </c>
      <c r="J27" s="98" t="n"/>
      <c r="K27" s="49" t="inlineStr">
        <is>
          <t>Legal 500</t>
        </is>
      </c>
      <c r="L27" s="98" t="n"/>
      <c r="M27" s="98" t="n"/>
      <c r="N27" s="93">
        <f>F27/I27</f>
        <v/>
      </c>
      <c r="O27" s="98" t="n"/>
      <c r="P27" s="98" t="n"/>
      <c r="Q27" s="98" t="n"/>
      <c r="R27" s="49" t="inlineStr"/>
    </row>
    <row r="28">
      <c r="A28" s="90" t="n">
        <v>24</v>
      </c>
      <c r="B28" s="49" t="inlineStr">
        <is>
          <t>Eversheds Sutherland</t>
        </is>
      </c>
      <c r="C28" s="100" t="n">
        <v>140</v>
      </c>
      <c r="D28" s="100" t="n">
        <v>148</v>
      </c>
      <c r="E28" s="101">
        <f>C28/D28-1</f>
        <v/>
      </c>
      <c r="F28" s="100" t="n">
        <v>166</v>
      </c>
      <c r="G28" s="49" t="inlineStr">
        <is>
          <t>FY2025 net sales (AB)</t>
        </is>
      </c>
      <c r="H28" s="98" t="n"/>
      <c r="I28" s="98" t="n"/>
      <c r="J28" s="90" t="n">
        <v>59</v>
      </c>
      <c r="K28" s="49" t="inlineStr">
        <is>
          <t>2025 accounts</t>
        </is>
      </c>
      <c r="L28" s="98" t="n"/>
      <c r="M28" s="93">
        <f>F28/J28</f>
        <v/>
      </c>
      <c r="N28" s="98" t="n"/>
      <c r="O28" s="98" t="n"/>
      <c r="P28" s="98" t="n"/>
      <c r="Q28" s="98" t="n"/>
      <c r="R28" s="49" t="inlineStr"/>
    </row>
    <row r="29">
      <c r="A29" s="90" t="n">
        <v>25</v>
      </c>
      <c r="B29" s="49" t="inlineStr">
        <is>
          <t>Fylgia</t>
        </is>
      </c>
      <c r="C29" s="100" t="n">
        <v>131</v>
      </c>
      <c r="D29" s="100" t="n">
        <v>120</v>
      </c>
      <c r="E29" s="101">
        <f>C29/D29-1</f>
        <v/>
      </c>
      <c r="F29" s="100" t="n">
        <v>131</v>
      </c>
      <c r="G29" s="49" t="inlineStr">
        <is>
          <t>FY2024 (Afv)</t>
        </is>
      </c>
      <c r="H29" s="90" t="n">
        <v>21</v>
      </c>
      <c r="I29" s="90" t="n">
        <v>35</v>
      </c>
      <c r="J29" s="98" t="n"/>
      <c r="K29" s="49" t="inlineStr">
        <is>
          <t>Firm website count Oct-26</t>
        </is>
      </c>
      <c r="L29" s="92">
        <f>F29/H29</f>
        <v/>
      </c>
      <c r="M29" s="98" t="n"/>
      <c r="N29" s="93">
        <f>F29/I29</f>
        <v/>
      </c>
      <c r="O29" s="98" t="n"/>
      <c r="P29" s="101">
        <f>H29/I29</f>
        <v/>
      </c>
      <c r="Q29" s="98" t="n"/>
      <c r="R29" s="49" t="inlineStr">
        <is>
          <t>KB band 20-49 employees</t>
        </is>
      </c>
    </row>
    <row r="30">
      <c r="A30" s="90" t="n">
        <v>26</v>
      </c>
      <c r="B30" s="49" t="inlineStr">
        <is>
          <t>Kilpatrick Townsend</t>
        </is>
      </c>
      <c r="C30" s="100" t="n">
        <v>130</v>
      </c>
      <c r="D30" s="100" t="n">
        <v>114</v>
      </c>
      <c r="E30" s="101">
        <f>C30/D30-1</f>
        <v/>
      </c>
      <c r="F30" s="100" t="n">
        <v>130</v>
      </c>
      <c r="G30" s="49" t="inlineStr">
        <is>
          <t>FY2024 (Afv)</t>
        </is>
      </c>
      <c r="H30" s="98" t="n"/>
      <c r="I30" s="98" t="n"/>
      <c r="J30" s="98" t="n"/>
      <c r="K30" s="49" t="inlineStr"/>
      <c r="L30" s="98" t="n"/>
      <c r="M30" s="98" t="n"/>
      <c r="N30" s="98" t="n"/>
      <c r="O30" s="98" t="n"/>
      <c r="P30" s="98" t="n"/>
      <c r="Q30" s="98" t="n"/>
      <c r="R30" s="49" t="inlineStr">
        <is>
          <t>AB (49 staff) is partial</t>
        </is>
      </c>
    </row>
    <row r="31">
      <c r="A31" s="90" t="n">
        <v>27</v>
      </c>
      <c r="B31" s="49" t="inlineStr">
        <is>
          <t>Nordia Law</t>
        </is>
      </c>
      <c r="C31" s="100" t="n">
        <v>126</v>
      </c>
      <c r="D31" s="100" t="n">
        <v>126</v>
      </c>
      <c r="E31" s="101">
        <f>C31/D31-1</f>
        <v/>
      </c>
      <c r="F31" s="100" t="n">
        <v>126</v>
      </c>
      <c r="G31" s="49" t="inlineStr">
        <is>
          <t>FY2024 (Afv)</t>
        </is>
      </c>
      <c r="H31" s="98" t="n"/>
      <c r="I31" s="98" t="n"/>
      <c r="J31" s="90" t="n">
        <v>96</v>
      </c>
      <c r="K31" s="49" t="inlineStr">
        <is>
          <t>Legal 500 ("number of staff")</t>
        </is>
      </c>
      <c r="L31" s="98" t="n"/>
      <c r="M31" s="93">
        <f>F31/J31</f>
        <v/>
      </c>
      <c r="N31" s="98" t="n"/>
      <c r="O31" s="98" t="n"/>
      <c r="P31" s="98" t="n"/>
      <c r="Q31" s="98" t="n"/>
      <c r="R31" s="49" t="inlineStr"/>
    </row>
    <row r="32">
      <c r="A32" s="90" t="n">
        <v>28</v>
      </c>
      <c r="B32" s="49" t="inlineStr">
        <is>
          <t>Kaiding</t>
        </is>
      </c>
      <c r="C32" s="100" t="n">
        <v>122</v>
      </c>
      <c r="D32" s="100" t="n">
        <v>117</v>
      </c>
      <c r="E32" s="101">
        <f>C32/D32-1</f>
        <v/>
      </c>
      <c r="F32" s="100" t="n">
        <v>122</v>
      </c>
      <c r="G32" s="49" t="inlineStr">
        <is>
          <t>FY24/25 (Afv)</t>
        </is>
      </c>
      <c r="H32" s="98" t="n"/>
      <c r="I32" s="98" t="n"/>
      <c r="J32" s="98" t="n"/>
      <c r="K32" s="49" t="inlineStr"/>
      <c r="L32" s="98" t="n"/>
      <c r="M32" s="98" t="n"/>
      <c r="N32" s="98" t="n"/>
      <c r="O32" s="98" t="n"/>
      <c r="P32" s="98" t="n"/>
      <c r="Q32" s="98" t="n"/>
      <c r="R32" s="49" t="inlineStr">
        <is>
          <t>Headcount not researched</t>
        </is>
      </c>
    </row>
    <row r="33">
      <c r="A33" s="90" t="n">
        <v>29</v>
      </c>
      <c r="B33" s="49" t="inlineStr">
        <is>
          <t>Magnusson (Sweden)</t>
        </is>
      </c>
      <c r="C33" s="100" t="n">
        <v>112</v>
      </c>
      <c r="D33" s="100" t="n">
        <v>124</v>
      </c>
      <c r="E33" s="101">
        <f>C33/D33-1</f>
        <v/>
      </c>
      <c r="F33" s="100" t="n">
        <v>125</v>
      </c>
      <c r="G33" s="49" t="inlineStr">
        <is>
          <t>FY2025 net sales (AB)</t>
        </is>
      </c>
      <c r="H33" s="90" t="n">
        <v>13</v>
      </c>
      <c r="I33" s="90" t="n">
        <v>47</v>
      </c>
      <c r="J33" s="90" t="n">
        <v>46</v>
      </c>
      <c r="K33" s="49" t="inlineStr">
        <is>
          <t>Firm website count Oct-26; employees 2025 accounts</t>
        </is>
      </c>
      <c r="L33" s="92">
        <f>F33/H33</f>
        <v/>
      </c>
      <c r="M33" s="93">
        <f>F33/J33</f>
        <v/>
      </c>
      <c r="N33" s="93">
        <f>F33/I33</f>
        <v/>
      </c>
      <c r="O33" s="101">
        <f>H33/J33</f>
        <v/>
      </c>
      <c r="P33" s="101">
        <f>H33/I33</f>
        <v/>
      </c>
      <c r="Q33" s="92">
        <f>J33/H33</f>
        <v/>
      </c>
      <c r="R33" s="49" t="inlineStr">
        <is>
          <t>Merged with Gro Advokatbyrå 1 Oct 2026 (~SEK 20m)</t>
        </is>
      </c>
    </row>
    <row r="34">
      <c r="A34" s="90" t="n">
        <v>30</v>
      </c>
      <c r="B34" s="49" t="inlineStr">
        <is>
          <t>Moll Wendén</t>
        </is>
      </c>
      <c r="C34" s="100" t="n">
        <v>108</v>
      </c>
      <c r="D34" s="100" t="n">
        <v>89</v>
      </c>
      <c r="E34" s="101">
        <f>C34/D34-1</f>
        <v/>
      </c>
      <c r="F34" s="100" t="n">
        <v>101</v>
      </c>
      <c r="G34" s="49" t="inlineStr">
        <is>
          <t>FY2025 net sales (AB)</t>
        </is>
      </c>
      <c r="H34" s="90" t="n">
        <v>8</v>
      </c>
      <c r="I34" s="90" t="n">
        <v>37</v>
      </c>
      <c r="J34" s="90" t="n">
        <v>44</v>
      </c>
      <c r="K34" s="49" t="inlineStr">
        <is>
          <t>Firm website count Oct-26; employees 2025 accounts</t>
        </is>
      </c>
      <c r="L34" s="92">
        <f>F34/H34</f>
        <v/>
      </c>
      <c r="M34" s="93">
        <f>F34/J34</f>
        <v/>
      </c>
      <c r="N34" s="93">
        <f>F34/I34</f>
        <v/>
      </c>
      <c r="O34" s="101">
        <f>H34/J34</f>
        <v/>
      </c>
      <c r="P34" s="101">
        <f>H34/I34</f>
        <v/>
      </c>
      <c r="Q34" s="92">
        <f>J34/H34</f>
        <v/>
      </c>
      <c r="R34" s="49" t="inlineStr">
        <is>
          <t>Joined AGRD May-26</t>
        </is>
      </c>
    </row>
    <row r="35">
      <c r="A35" s="90" t="inlineStr">
        <is>
          <t>n/r</t>
        </is>
      </c>
      <c r="B35" s="49" t="inlineStr">
        <is>
          <t>Baker McKenzie (Stockholm)</t>
        </is>
      </c>
      <c r="C35" s="100" t="n">
        <v>334</v>
      </c>
      <c r="D35" s="100" t="n">
        <v>323</v>
      </c>
      <c r="E35" s="101">
        <f>C35/D35-1</f>
        <v/>
      </c>
      <c r="F35" s="100" t="n">
        <v>334</v>
      </c>
      <c r="G35" s="49" t="inlineStr">
        <is>
          <t>FY23/24 (Afv Apr-25; not in revised table)</t>
        </is>
      </c>
      <c r="H35" s="90" t="n">
        <v>12</v>
      </c>
      <c r="I35" s="90" t="n">
        <v>73</v>
      </c>
      <c r="J35" s="90" t="n">
        <v>125</v>
      </c>
      <c r="K35" s="49" t="inlineStr">
        <is>
          <t>Firm website count Oct-26; "~125 professionals" (Mar-26)</t>
        </is>
      </c>
      <c r="L35" s="92">
        <f>F35/H35</f>
        <v/>
      </c>
      <c r="M35" s="93">
        <f>F35/J35</f>
        <v/>
      </c>
      <c r="N35" s="93">
        <f>F35/I35</f>
        <v/>
      </c>
      <c r="O35" s="101">
        <f>H35/J35</f>
        <v/>
      </c>
      <c r="P35" s="101">
        <f>H35/I35</f>
        <v/>
      </c>
      <c r="Q35" s="92">
        <f>J35/H35</f>
        <v/>
      </c>
      <c r="R35" s="49" t="inlineStr">
        <is>
          <t>Would rank ~14</t>
        </is>
      </c>
    </row>
    <row r="36">
      <c r="A36" s="90" t="inlineStr">
        <is>
          <t>n/r</t>
        </is>
      </c>
      <c r="B36" s="49" t="inlineStr">
        <is>
          <t>Linklaters (Stockholm)</t>
        </is>
      </c>
      <c r="C36" s="100" t="n">
        <v>195</v>
      </c>
      <c r="D36" s="100" t="n">
        <v>199</v>
      </c>
      <c r="E36" s="101">
        <f>C36/D36-1</f>
        <v/>
      </c>
      <c r="F36" s="100" t="n">
        <v>195</v>
      </c>
      <c r="G36" s="49" t="inlineStr">
        <is>
          <t>FY23/24 (Afv Apr-25; not in revised table)</t>
        </is>
      </c>
      <c r="H36" s="98" t="n"/>
      <c r="I36" s="98" t="n"/>
      <c r="J36" s="90" t="n">
        <v>75</v>
      </c>
      <c r="K36" s="49" t="inlineStr">
        <is>
          <t>AB accounts FY24/25</t>
        </is>
      </c>
      <c r="L36" s="98" t="n"/>
      <c r="M36" s="93">
        <f>F36/J36</f>
        <v/>
      </c>
      <c r="N36" s="98" t="n"/>
      <c r="O36" s="98" t="n"/>
      <c r="P36" s="98" t="n"/>
      <c r="Q36" s="98" t="n"/>
      <c r="R36" s="49" t="inlineStr">
        <is>
          <t>AB net sales 376 (basis unclear)</t>
        </is>
      </c>
    </row>
    <row r="37">
      <c r="B37" s="46" t="inlineStr">
        <is>
          <t>Median (top 30)</t>
        </is>
      </c>
      <c r="L37" s="102">
        <f>MEDIAN(L5:L34)</f>
        <v/>
      </c>
      <c r="M37" s="103">
        <f>MEDIAN(M5:M34)</f>
        <v/>
      </c>
      <c r="N37" s="103">
        <f>MEDIAN(N5:N34)</f>
        <v/>
      </c>
      <c r="O37" s="104">
        <f>MEDIAN(O5:O34)</f>
        <v/>
      </c>
      <c r="P37" s="104">
        <f>MEDIAN(P5:P34)</f>
        <v/>
      </c>
      <c r="Q37" s="102">
        <f>MEDIAN(Q5:Q34)</f>
        <v/>
      </c>
    </row>
    <row r="38">
      <c r="B38" s="46" t="inlineStr">
        <is>
          <t>Top-30 total fee income FY2024</t>
        </is>
      </c>
      <c r="C38" s="58">
        <f>SUM(C5:C34)</f>
        <v/>
      </c>
      <c r="D38" s="58">
        <f>SUM(D5:D34)</f>
        <v/>
      </c>
      <c r="E38" s="59">
        <f>C38/D38-1</f>
        <v/>
      </c>
    </row>
    <row r="39">
      <c r="B39" t="inlineStr">
        <is>
          <t>Share of Afv panel total (SEK 15,455m)</t>
        </is>
      </c>
      <c r="C39" s="59">
        <f>C38/15455</f>
        <v/>
      </c>
    </row>
    <row r="40">
      <c r="B40" t="inlineStr">
        <is>
          <t>Top-5 share of Afv panel total</t>
        </is>
      </c>
      <c r="C40" s="59">
        <f>SUM(C5:C9)/15455</f>
        <v/>
      </c>
    </row>
    <row r="41">
      <c r="B41" t="inlineStr">
        <is>
          <t>Top-10 share of Afv panel total</t>
        </is>
      </c>
      <c r="C41" s="59">
        <f>SUM(C5:C14)/15455</f>
        <v/>
      </c>
    </row>
    <row r="43">
      <c r="A43" s="45" t="inlineStr">
        <is>
          <t>Units: SEK m; ratios in SEK m per head. Revenue per partner/employee/lawyer uses "Latest revenue" (column F).</t>
        </is>
      </c>
    </row>
    <row r="44">
      <c r="A44" s="45" t="inlineStr">
        <is>
          <t>Sources: Affärsvärlden 3 Oct 2025 https://www.affarsvarlden.se/artikel/affarsjuristerna-gar-starkt-finns-fler-bolag-i-ipo-pipelinen (FY2024 table) and 12 Apr 2025 (original); company accounts via allabolag.se (Bolagsverket filings); firm websites (counted Oct-2026); Legal 500 and Chambers Europe 2026 firm-supplied figures.</t>
        </is>
      </c>
    </row>
    <row r="45">
      <c r="A45" s="45" t="inlineStr">
        <is>
          <t>Gaps: total employees not found for DLA Piper, Cederquist, Schjødt (Sweden), Glimstedt (Sweden only), TM &amp; Partners, Wigge, Fylgia, AG Advokat; partner counts missing for 9 firms. Limited partnerships (KB) file no public accounts.</t>
        </is>
      </c>
    </row>
  </sheetData>
  <mergeCells count="1">
    <mergeCell ref="A2:R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26" customWidth="1" style="112" min="1" max="1"/>
    <col width="20" customWidth="1" style="112" min="2" max="2"/>
    <col width="28" customWidth="1" style="112" min="3" max="3"/>
    <col width="10" customWidth="1" style="112" min="4" max="4"/>
    <col width="10" customWidth="1" style="112" min="5" max="5"/>
    <col width="12" customWidth="1" style="112" min="6" max="6"/>
    <col width="12" customWidth="1" style="112" min="7" max="7"/>
    <col width="10" customWidth="1" style="112" min="8" max="8"/>
    <col width="10" customWidth="1" style="112" min="9" max="9"/>
    <col width="10" customWidth="1" style="112" min="10" max="10"/>
    <col width="10" customWidth="1" style="112" min="11" max="11"/>
    <col width="10" customWidth="1" style="112" min="12" max="12"/>
    <col width="10" customWidth="1" style="112" min="13" max="13"/>
    <col width="10" customWidth="1" style="112" min="14" max="14"/>
    <col width="10" customWidth="1" style="112" min="15" max="15"/>
    <col width="40" customWidth="1" style="112" min="16" max="16"/>
    <col width="40" customWidth="1" style="112" min="17" max="17"/>
  </cols>
  <sheetData>
    <row r="1">
      <c r="A1" s="1" t="inlineStr">
        <is>
          <t>Section D. Rate card comparison: Swedish business law firms (SEK per hour, excl. VAT)</t>
        </is>
      </c>
    </row>
    <row r="2" ht="45" customHeight="1" s="112">
      <c r="A2" s="2" t="inlineStr">
        <is>
          <t>Rates are only comparable when dated: Swedish firms typically revise rates annually on 1 January. Public-sector price annexes are usually confidential (Kammarrätten i Stockholm, 2017, Vinge / E-hälsomyndigheten), so firm-level rate cards are scarce. Source type matters: list price (rate card) vs realised (actual billed) rates. Nordic business-law data only, 2023 onwards.</t>
        </is>
      </c>
    </row>
    <row r="4">
      <c r="A4" s="47" t="inlineStr">
        <is>
          <t>D1. Rate cards by level (list prices)</t>
        </is>
      </c>
    </row>
    <row r="5" ht="42" customHeight="1" s="112">
      <c r="A5" s="52" t="inlineStr">
        <is>
          <t>Firm</t>
        </is>
      </c>
      <c r="B5" s="52" t="inlineStr">
        <is>
          <t>Rate date</t>
        </is>
      </c>
      <c r="C5" s="52" t="inlineStr">
        <is>
          <t>Source</t>
        </is>
      </c>
      <c r="D5" s="52" t="inlineStr">
        <is>
          <t>Partner</t>
        </is>
      </c>
      <c r="E5" s="84" t="n"/>
      <c r="F5" s="52" t="inlineStr">
        <is>
          <t>Counsel / Senior associate</t>
        </is>
      </c>
      <c r="G5" s="84" t="n"/>
      <c r="H5" s="52" t="inlineStr">
        <is>
          <t>Associate</t>
        </is>
      </c>
      <c r="I5" s="84" t="n"/>
      <c r="J5" s="52" t="inlineStr">
        <is>
          <t>Junior associate</t>
        </is>
      </c>
      <c r="K5" s="84" t="n"/>
      <c r="L5" s="52" t="inlineStr">
        <is>
          <t>Paralegal</t>
        </is>
      </c>
      <c r="M5" s="52" t="inlineStr">
        <is>
          <t>Partner mid</t>
        </is>
      </c>
      <c r="N5" s="52" t="inlineStr">
        <is>
          <t>Junior mid</t>
        </is>
      </c>
      <c r="O5" s="52" t="inlineStr">
        <is>
          <t>Partner / junior (x)</t>
        </is>
      </c>
      <c r="P5" s="52" t="inlineStr">
        <is>
          <t>Level definitions in source</t>
        </is>
      </c>
      <c r="Q5" s="52" t="inlineStr">
        <is>
          <t>Notes</t>
        </is>
      </c>
    </row>
    <row r="6">
      <c r="A6" s="85" t="n"/>
      <c r="B6" s="85" t="n"/>
      <c r="C6" s="85" t="n"/>
      <c r="D6" s="86" t="inlineStr">
        <is>
          <t>Low</t>
        </is>
      </c>
      <c r="E6" s="86" t="inlineStr">
        <is>
          <t>High</t>
        </is>
      </c>
      <c r="F6" s="86" t="inlineStr">
        <is>
          <t>Low</t>
        </is>
      </c>
      <c r="G6" s="86" t="inlineStr">
        <is>
          <t>High</t>
        </is>
      </c>
      <c r="H6" s="86" t="inlineStr">
        <is>
          <t>Low</t>
        </is>
      </c>
      <c r="I6" s="86" t="inlineStr">
        <is>
          <t>High</t>
        </is>
      </c>
      <c r="J6" s="86" t="inlineStr">
        <is>
          <t>Low</t>
        </is>
      </c>
      <c r="K6" s="86" t="inlineStr">
        <is>
          <t>High</t>
        </is>
      </c>
      <c r="L6" s="85" t="n"/>
      <c r="M6" s="85" t="n"/>
      <c r="N6" s="85" t="n"/>
      <c r="O6" s="85" t="n"/>
      <c r="P6" s="85" t="n"/>
      <c r="Q6" s="85" t="n"/>
    </row>
    <row r="7" ht="60" customHeight="1" s="112">
      <c r="A7" s="49" t="inlineStr">
        <is>
          <t>Mannheimer Swartling</t>
        </is>
      </c>
      <c r="B7" s="49" t="inlineStr">
        <is>
          <t>Not stated (provided by colleague, Oct-26)</t>
        </is>
      </c>
      <c r="C7" s="49" t="inlineStr">
        <is>
          <t>Firm rate card (client-provided snip)</t>
        </is>
      </c>
      <c r="D7" s="87" t="n">
        <v>6000</v>
      </c>
      <c r="E7" s="87" t="n">
        <v>10000</v>
      </c>
      <c r="F7" s="87" t="n">
        <v>4550</v>
      </c>
      <c r="G7" s="87" t="n">
        <v>8000</v>
      </c>
      <c r="H7" s="87" t="n">
        <v>3650</v>
      </c>
      <c r="I7" s="87" t="n">
        <v>4150</v>
      </c>
      <c r="J7" s="87" t="n">
        <v>2750</v>
      </c>
      <c r="K7" s="87" t="n">
        <v>3350</v>
      </c>
      <c r="L7" s="87" t="n"/>
      <c r="M7" s="87">
        <f>AVERAGE(D7:E7)</f>
        <v/>
      </c>
      <c r="N7" s="87">
        <f>AVERAGE(J7:K7)</f>
        <v/>
      </c>
      <c r="O7" s="88">
        <f>M7/N7</f>
        <v/>
      </c>
      <c r="P7" s="49" t="inlineStr">
        <is>
          <t>Junior Assoc 0-24 months; Associates 25-59 months; Senior Assoc / PDL / Specialist Counsel 60+ months; Partners / Senior Advisor</t>
        </is>
      </c>
      <c r="Q7" s="49" t="inlineStr">
        <is>
          <t>Counsel band (4,550-8,000) overlaps partner band. Date to be confirmed.</t>
        </is>
      </c>
    </row>
    <row r="8" ht="60" customHeight="1" s="112">
      <c r="A8" s="49" t="inlineStr">
        <is>
          <t>Cederquist</t>
        </is>
      </c>
      <c r="B8" s="49" t="inlineStr">
        <is>
          <t>2025 (revised annually 1 Jan)</t>
        </is>
      </c>
      <c r="C8" s="49" t="inlineStr">
        <is>
          <t>Firm cost estimate / fee structure (client-provided snip)</t>
        </is>
      </c>
      <c r="D8" s="87" t="n">
        <v>6500</v>
      </c>
      <c r="E8" s="87" t="n">
        <v>8000</v>
      </c>
      <c r="F8" s="87" t="n">
        <v>4500</v>
      </c>
      <c r="G8" s="87" t="n">
        <v>5800</v>
      </c>
      <c r="H8" s="87" t="n">
        <v>3600</v>
      </c>
      <c r="I8" s="87" t="n">
        <v>4100</v>
      </c>
      <c r="J8" s="87" t="n">
        <v>2300</v>
      </c>
      <c r="K8" s="87" t="n">
        <v>3100</v>
      </c>
      <c r="L8" s="87" t="n">
        <v>1500</v>
      </c>
      <c r="M8" s="87">
        <f>AVERAGE(D8:E8)</f>
        <v/>
      </c>
      <c r="N8" s="87">
        <f>AVERAGE(J8:K8)</f>
        <v/>
      </c>
      <c r="O8" s="88">
        <f>M8/N8</f>
        <v/>
      </c>
      <c r="P8" s="49" t="inlineStr">
        <is>
          <t>Partners; Senior Associates; Associates; Junior Associates; Paralegals</t>
        </is>
      </c>
      <c r="Q8" s="49" t="inlineStr">
        <is>
          <t>Time-incurred basis; open to alternative fee arrangements per project.</t>
        </is>
      </c>
    </row>
    <row r="9" ht="60" customHeight="1" s="112">
      <c r="A9" s="49" t="inlineStr">
        <is>
          <t>MAQS</t>
        </is>
      </c>
      <c r="B9" s="49" t="inlineStr">
        <is>
          <t>Sell-side model (Oct-2026)</t>
        </is>
      </c>
      <c r="C9" s="49" t="inlineStr">
        <is>
          <t>Sell-side model (vendor financial model)</t>
        </is>
      </c>
      <c r="D9" s="87" t="n">
        <v>5014.83020687709</v>
      </c>
      <c r="E9" s="87" t="n">
        <v>5014.83020687709</v>
      </c>
      <c r="F9" s="87" t="n"/>
      <c r="G9" s="87" t="n"/>
      <c r="H9" s="87" t="n">
        <v>2753.06754681269</v>
      </c>
      <c r="I9" s="87" t="n">
        <v>2753.06754681269</v>
      </c>
      <c r="J9" s="87" t="n"/>
      <c r="K9" s="87" t="n"/>
      <c r="L9" s="87" t="n"/>
      <c r="M9" s="87">
        <f>AVERAGE(D9:E9)</f>
        <v/>
      </c>
      <c r="N9" s="87" t="n"/>
      <c r="O9" s="88" t="n"/>
      <c r="P9" s="49" t="inlineStr">
        <is>
          <t>Partner; Associate (single rates)</t>
        </is>
      </c>
      <c r="Q9" s="49" t="inlineStr">
        <is>
          <t>Single model rates, not a published rate card range; confirm whether list or realised (effective) rates.</t>
        </is>
      </c>
    </row>
    <row r="10">
      <c r="A10" s="46" t="inlineStr">
        <is>
          <t>Difference: Mannheimer Swartling vs Cederquist (mid-points)</t>
        </is>
      </c>
      <c r="D10" s="89">
        <f>AVERAGE(D7:E7)/AVERAGE(D8:E8)-1</f>
        <v/>
      </c>
      <c r="F10" s="89">
        <f>AVERAGE(F7:G7)/AVERAGE(F8:G8)-1</f>
        <v/>
      </c>
      <c r="H10" s="89">
        <f>AVERAGE(H7:I7)/AVERAGE(H8:I8)-1</f>
        <v/>
      </c>
      <c r="J10" s="89">
        <f>AVERAGE(J7:K7)/AVERAGE(J8:K8)-1</f>
        <v/>
      </c>
    </row>
    <row r="11">
      <c r="A11" s="46" t="inlineStr">
        <is>
          <t>MAQS (sell-side model) vs Cederquist mid-point</t>
        </is>
      </c>
      <c r="D11" s="89">
        <f>D9/AVERAGE(D8:E8)-1</f>
        <v/>
      </c>
      <c r="H11" s="89">
        <f>H9/AVERAGE(H8:I8)-1</f>
        <v/>
      </c>
    </row>
    <row r="12">
      <c r="A12" s="46" t="inlineStr">
        <is>
          <t>MAQS (sell-side model) vs Mannheimer Swartling mid-point</t>
        </is>
      </c>
      <c r="D12" s="89">
        <f>D9/AVERAGE(D7:E7)-1</f>
        <v/>
      </c>
      <c r="H12" s="89">
        <f>H9/AVERAGE(H7:I7)-1</f>
        <v/>
      </c>
    </row>
    <row r="14">
      <c r="A14" s="47" t="inlineStr">
        <is>
          <t>D2. Indicative firm-wide hourly ranges (third-party directory, low reliability)</t>
        </is>
      </c>
    </row>
    <row r="15">
      <c r="A15" s="52" t="inlineStr">
        <is>
          <t>Firm</t>
        </is>
      </c>
      <c r="B15" s="52" t="inlineStr">
        <is>
          <t>Accessed</t>
        </is>
      </c>
      <c r="C15" s="52" t="inlineStr">
        <is>
          <t>Source</t>
        </is>
      </c>
      <c r="D15" s="52" t="inlineStr">
        <is>
          <t>Low (~associate)</t>
        </is>
      </c>
      <c r="E15" s="52" t="inlineStr">
        <is>
          <t>High (~partner)</t>
        </is>
      </c>
      <c r="F15" s="52" t="inlineStr">
        <is>
          <t>Mid</t>
        </is>
      </c>
    </row>
    <row r="16">
      <c r="A16" s="49" t="inlineStr">
        <is>
          <t>Mannheimer Swartling</t>
        </is>
      </c>
      <c r="B16" s="49" t="inlineStr">
        <is>
          <t>Oct-2026 (undated on site)</t>
        </is>
      </c>
      <c r="C16" s="49" t="inlineStr">
        <is>
          <t>skatterätt.se firm pages (tax practice; no level split, no source)</t>
        </is>
      </c>
      <c r="D16" s="87" t="n">
        <v>4500</v>
      </c>
      <c r="E16" s="87" t="n">
        <v>8000</v>
      </c>
      <c r="F16" s="87">
        <f>AVERAGE(D16:E16)</f>
        <v/>
      </c>
    </row>
    <row r="17">
      <c r="A17" s="49" t="inlineStr">
        <is>
          <t>Roschier</t>
        </is>
      </c>
      <c r="B17" s="49" t="inlineStr">
        <is>
          <t>Oct-2026 (undated on site)</t>
        </is>
      </c>
      <c r="C17" s="49" t="inlineStr">
        <is>
          <t>skatterätt.se firm pages (tax practice; no level split, no source)</t>
        </is>
      </c>
      <c r="D17" s="87" t="n">
        <v>4200</v>
      </c>
      <c r="E17" s="87" t="n">
        <v>7000</v>
      </c>
      <c r="F17" s="87">
        <f>AVERAGE(D17:E17)</f>
        <v/>
      </c>
    </row>
    <row r="18">
      <c r="A18" s="49" t="inlineStr">
        <is>
          <t>Vinge</t>
        </is>
      </c>
      <c r="B18" s="49" t="inlineStr">
        <is>
          <t>Oct-2026 (undated on site)</t>
        </is>
      </c>
      <c r="C18" s="49" t="inlineStr">
        <is>
          <t>skatterätt.se firm pages (tax practice; no level split, no source)</t>
        </is>
      </c>
      <c r="D18" s="87" t="n">
        <v>4000</v>
      </c>
      <c r="E18" s="87" t="n">
        <v>7000</v>
      </c>
      <c r="F18" s="87">
        <f>AVERAGE(D18:E18)</f>
        <v/>
      </c>
    </row>
    <row r="19">
      <c r="A19" s="49" t="inlineStr">
        <is>
          <t>DLA Piper</t>
        </is>
      </c>
      <c r="B19" s="49" t="inlineStr">
        <is>
          <t>Oct-2026 (undated on site)</t>
        </is>
      </c>
      <c r="C19" s="49" t="inlineStr">
        <is>
          <t>skatterätt.se firm pages (tax practice; no level split, no source)</t>
        </is>
      </c>
      <c r="D19" s="87" t="n">
        <v>4000</v>
      </c>
      <c r="E19" s="87" t="n">
        <v>7000</v>
      </c>
      <c r="F19" s="87">
        <f>AVERAGE(D19:E19)</f>
        <v/>
      </c>
    </row>
    <row r="20">
      <c r="A20" s="49" t="inlineStr">
        <is>
          <t>Schjødt</t>
        </is>
      </c>
      <c r="B20" s="49" t="inlineStr">
        <is>
          <t>Oct-2026 (undated on site)</t>
        </is>
      </c>
      <c r="C20" s="49" t="inlineStr">
        <is>
          <t>skatterätt.se firm pages (tax practice; no level split, no source)</t>
        </is>
      </c>
      <c r="D20" s="87" t="n">
        <v>3800</v>
      </c>
      <c r="E20" s="87" t="n">
        <v>6500</v>
      </c>
      <c r="F20" s="87">
        <f>AVERAGE(D20:E20)</f>
        <v/>
      </c>
    </row>
    <row r="21">
      <c r="A21" s="49" t="inlineStr">
        <is>
          <t>Cederquist</t>
        </is>
      </c>
      <c r="B21" s="49" t="inlineStr">
        <is>
          <t>Oct-2026 (undated on site)</t>
        </is>
      </c>
      <c r="C21" s="49" t="inlineStr">
        <is>
          <t>skatterätt.se firm pages (tax practice; no level split, no source)</t>
        </is>
      </c>
      <c r="D21" s="87" t="n">
        <v>3800</v>
      </c>
      <c r="E21" s="87" t="n">
        <v>6500</v>
      </c>
      <c r="F21" s="87">
        <f>AVERAGE(D21:E21)</f>
        <v/>
      </c>
    </row>
    <row r="22">
      <c r="A22" s="49" t="inlineStr">
        <is>
          <t>Setterwalls</t>
        </is>
      </c>
      <c r="B22" s="49" t="inlineStr">
        <is>
          <t>Oct-2026 (undated on site)</t>
        </is>
      </c>
      <c r="C22" s="49" t="inlineStr">
        <is>
          <t>skatterätt.se firm pages (tax practice; no level split, no source)</t>
        </is>
      </c>
      <c r="D22" s="87" t="n">
        <v>3500</v>
      </c>
      <c r="E22" s="87" t="n">
        <v>6000</v>
      </c>
      <c r="F22" s="87">
        <f>AVERAGE(D22:E22)</f>
        <v/>
      </c>
    </row>
    <row r="23">
      <c r="A23" s="49" t="inlineStr">
        <is>
          <t>Bird &amp; Bird</t>
        </is>
      </c>
      <c r="B23" s="49" t="inlineStr">
        <is>
          <t>Oct-2026 (undated on site)</t>
        </is>
      </c>
      <c r="C23" s="49" t="inlineStr">
        <is>
          <t>skatterätt.se firm pages (tax practice; no level split, no source)</t>
        </is>
      </c>
      <c r="D23" s="87" t="n">
        <v>3500</v>
      </c>
      <c r="E23" s="87" t="n">
        <v>6000</v>
      </c>
      <c r="F23" s="87">
        <f>AVERAGE(D23:E23)</f>
        <v/>
      </c>
    </row>
    <row r="24">
      <c r="A24" s="49" t="inlineStr">
        <is>
          <t>Delphi</t>
        </is>
      </c>
      <c r="B24" s="49" t="inlineStr">
        <is>
          <t>Oct-2026 (undated on site)</t>
        </is>
      </c>
      <c r="C24" s="49" t="inlineStr">
        <is>
          <t>skatterätt.se firm pages (tax practice; no level split, no source)</t>
        </is>
      </c>
      <c r="D24" s="87" t="n">
        <v>3200</v>
      </c>
      <c r="E24" s="87" t="n">
        <v>5500</v>
      </c>
      <c r="F24" s="87">
        <f>AVERAGE(D24:E24)</f>
        <v/>
      </c>
    </row>
    <row r="25">
      <c r="A25" s="49" t="inlineStr">
        <is>
          <t>Lindahl</t>
        </is>
      </c>
      <c r="B25" s="49" t="inlineStr">
        <is>
          <t>Oct-2026 (undated on site)</t>
        </is>
      </c>
      <c r="C25" s="49" t="inlineStr">
        <is>
          <t>skatterätt.se firm pages (tax practice; no level split, no source)</t>
        </is>
      </c>
      <c r="D25" s="87" t="n">
        <v>3000</v>
      </c>
      <c r="E25" s="87" t="n">
        <v>5500</v>
      </c>
      <c r="F25" s="87">
        <f>AVERAGE(D25:E25)</f>
        <v/>
      </c>
    </row>
    <row r="26">
      <c r="A26" s="45" t="inlineStr">
        <is>
          <t>Example: https://www.xn--skattertt-12a.se/byra/vinge-skatt/ (Vinge: "Timarvode 4 000 till 7 000 kr"). Ranges may be estimates; use only for relative positioning.</t>
        </is>
      </c>
    </row>
    <row r="28">
      <c r="A28" s="47" t="inlineStr">
        <is>
          <t>D3. Dated Nordic rate data points, 2023 onwards (realised rates and market commentary)</t>
        </is>
      </c>
    </row>
    <row r="29">
      <c r="A29" s="52" t="inlineStr">
        <is>
          <t>Firm</t>
        </is>
      </c>
      <c r="B29" s="52" t="inlineStr">
        <is>
          <t>Rate date</t>
        </is>
      </c>
      <c r="C29" s="52" t="inlineStr">
        <is>
          <t>Level (as stated)</t>
        </is>
      </c>
      <c r="D29" s="52" t="inlineStr">
        <is>
          <t>Mapped level</t>
        </is>
      </c>
      <c r="E29" s="52" t="inlineStr">
        <is>
          <t>Rate low</t>
        </is>
      </c>
      <c r="F29" s="52" t="inlineStr">
        <is>
          <t>Rate high</t>
        </is>
      </c>
      <c r="G29" s="52" t="inlineStr">
        <is>
          <t>Context</t>
        </is>
      </c>
      <c r="H29" s="52" t="inlineStr">
        <is>
          <t>Source type</t>
        </is>
      </c>
      <c r="I29" s="52" t="inlineStr">
        <is>
          <t>Relevance</t>
        </is>
      </c>
      <c r="J29" s="52" t="inlineStr">
        <is>
          <t>Source</t>
        </is>
      </c>
    </row>
    <row r="30">
      <c r="A30" s="49" t="inlineStr">
        <is>
          <t>Mannheimer Swartling</t>
        </is>
      </c>
      <c r="B30" s="49" t="inlineStr">
        <is>
          <t>Nov-2024 to Mar-2025</t>
        </is>
      </c>
      <c r="C30" s="49" t="inlineStr">
        <is>
          <t>Average across team (~6,000 h, SEK 32m)</t>
        </is>
      </c>
      <c r="D30" s="49" t="inlineStr">
        <is>
          <t>Blended (realised)</t>
        </is>
      </c>
      <c r="E30" s="87" t="n">
        <v>4000</v>
      </c>
      <c r="F30" s="87" t="n">
        <v>4000</v>
      </c>
      <c r="G30" s="49" t="inlineStr">
        <is>
          <t>Northvolt restructuring (Swedish counsel in US Chapter 11); lowest average of all advisers</t>
        </is>
      </c>
      <c r="H30" s="49" t="inlineStr">
        <is>
          <t>Court-approved fee filing (press)</t>
        </is>
      </c>
      <c r="I30" s="49" t="inlineStr">
        <is>
          <t>Only published realised blended rate for a top Nordic firm: ~4,000 vs list partner 6,000-10,000</t>
        </is>
      </c>
      <c r="J30" s="49" t="inlineStr">
        <is>
          <t>https://www.affarsvarlden.se/artikel/sa-dyrt-blev-northvolts-raddningsforsok-i-usa-debiteras-47-000-timmar</t>
        </is>
      </c>
    </row>
    <row r="31">
      <c r="A31" s="49" t="inlineStr">
        <is>
          <t>Top-tier firms (Vinge, MSA, Roschier)</t>
        </is>
      </c>
      <c r="B31" s="49" t="inlineStr">
        <is>
          <t>2026</t>
        </is>
      </c>
      <c r="C31" s="49" t="inlineStr">
        <is>
          <t>Partner</t>
        </is>
      </c>
      <c r="D31" s="49" t="inlineStr">
        <is>
          <t>Partner</t>
        </is>
      </c>
      <c r="E31" s="87" t="n">
        <v>7000</v>
      </c>
      <c r="F31" s="87" t="n">
        <v>9000</v>
      </c>
      <c r="G31" s="49" t="inlineStr">
        <is>
          <t>Olle Flygt (ex-Vinge/MSA partner): partner bills 7-9k with 3-5 associates beneath</t>
        </is>
      </c>
      <c r="H31" s="49" t="inlineStr">
        <is>
          <t>Market commentary</t>
        </is>
      </c>
      <c r="I31" s="49" t="inlineStr">
        <is>
          <t>Current top-tier partner rate level</t>
        </is>
      </c>
      <c r="J31" s="49" t="inlineStr">
        <is>
          <t>https://www.realtid.se/perfectweekend/affarsjuridikens-karna-det-har-blivit-for-mycket-fokus-pa-pengar/</t>
        </is>
      </c>
    </row>
    <row r="32">
      <c r="A32" s="49" t="inlineStr">
        <is>
          <t>Top-tier firms (Vinge, MSA, Roschier)</t>
        </is>
      </c>
      <c r="B32" s="49" t="inlineStr">
        <is>
          <t>2026</t>
        </is>
      </c>
      <c r="C32" s="49" t="inlineStr">
        <is>
          <t>Biträdande jurist (associate)</t>
        </is>
      </c>
      <c r="D32" s="49" t="inlineStr">
        <is>
          <t>Associate</t>
        </is>
      </c>
      <c r="E32" s="87" t="n">
        <v>3000</v>
      </c>
      <c r="F32" s="87" t="n">
        <v>3000</v>
      </c>
      <c r="G32" s="49" t="inlineStr">
        <is>
          <t>As above: associates bill ~3,000 and cost at most a third of that</t>
        </is>
      </c>
      <c r="H32" s="49" t="inlineStr">
        <is>
          <t>Market commentary</t>
        </is>
      </c>
      <c r="I32" s="49" t="inlineStr">
        <is>
          <t>Associate rate and margin (leverage)</t>
        </is>
      </c>
      <c r="J32" s="49" t="inlineStr">
        <is>
          <t>https://www.realtid.se/perfectweekend/affarsjuridikens-karna-det-har-blivit-for-mycket-fokus-pa-pengar/</t>
        </is>
      </c>
    </row>
    <row r="33">
      <c r="A33" s="49" t="inlineStr">
        <is>
          <t>Mannheimer Swartling</t>
        </is>
      </c>
      <c r="B33" s="49" t="inlineStr">
        <is>
          <t>Final years before 2025 (not specified)</t>
        </is>
      </c>
      <c r="C33" s="49" t="inlineStr">
        <is>
          <t>Partner (Olle Flygt)</t>
        </is>
      </c>
      <c r="D33" s="49" t="inlineStr">
        <is>
          <t>Partner</t>
        </is>
      </c>
      <c r="E33" s="87" t="n">
        <v>7000</v>
      </c>
      <c r="F33" s="87" t="n">
        <v>8000</v>
      </c>
      <c r="G33" s="49" t="inlineStr">
        <is>
          <t>Own billing rate</t>
        </is>
      </c>
      <c r="H33" s="49" t="inlineStr">
        <is>
          <t>Market commentary</t>
        </is>
      </c>
      <c r="I33" s="49" t="inlineStr">
        <is>
          <t>Individual partner rate at MSA</t>
        </is>
      </c>
      <c r="J33" s="49" t="inlineStr">
        <is>
          <t>https://www.realtid.se/juridik/affarsjuridiken-vaxer-men-sprickorna-syns/</t>
        </is>
      </c>
    </row>
    <row r="34">
      <c r="A34" s="49" t="inlineStr">
        <is>
          <t>Law firm (unnamed)</t>
        </is>
      </c>
      <c r="B34" s="49" t="inlineStr">
        <is>
          <t>Apr-2026</t>
        </is>
      </c>
      <c r="C34" s="49" t="inlineStr">
        <is>
          <t>Hourly rate held reasonable</t>
        </is>
      </c>
      <c r="D34" s="49" t="inlineStr">
        <is>
          <t>Blended</t>
        </is>
      </c>
      <c r="E34" s="87" t="n">
        <v>4000</v>
      </c>
      <c r="F34" s="87" t="n">
        <v>4000</v>
      </c>
      <c r="G34" s="49" t="inlineStr">
        <is>
          <t>Luleå tingsrätt cost ruling</t>
        </is>
      </c>
      <c r="H34" s="49" t="inlineStr">
        <is>
          <t>Court ruling (press)</t>
        </is>
      </c>
      <c r="I34" s="49" t="inlineStr">
        <is>
          <t>Courts accept ~4,000/h as reasonable for business-law counsel</t>
        </is>
      </c>
      <c r="J34" s="49" t="inlineStr">
        <is>
          <t>https://www.realtid.se/juridik/ratten-om-timarvoden-4-000-kronor-i-timmen-ar-ok/</t>
        </is>
      </c>
    </row>
    <row r="35">
      <c r="A35" s="45" t="inlineStr">
        <is>
          <t>Removed: pre-2023 invoices and court claims (2007-2017), US firms, public-sector and legal-aid data (not relevant to a Nordic business-law investment).</t>
        </is>
      </c>
    </row>
    <row r="37">
      <c r="A37" s="47" t="inlineStr">
        <is>
          <t>D4. Benchmarks (Nordic business law)</t>
        </is>
      </c>
    </row>
    <row r="38">
      <c r="A38" s="52" t="inlineStr">
        <is>
          <t>Benchmark</t>
        </is>
      </c>
      <c r="B38" s="52" t="inlineStr">
        <is>
          <t>Period</t>
        </is>
      </c>
      <c r="C38" s="52" t="inlineStr">
        <is>
          <t>Rate</t>
        </is>
      </c>
      <c r="D38" s="52" t="inlineStr">
        <is>
          <t>Currency</t>
        </is>
      </c>
      <c r="E38" s="52" t="inlineStr">
        <is>
          <t>Notes</t>
        </is>
      </c>
      <c r="F38" s="52" t="inlineStr">
        <is>
          <t>Source</t>
        </is>
      </c>
    </row>
    <row r="39">
      <c r="A39" s="49" t="inlineStr">
        <is>
          <t>Affärsvärlden fee income per lawyer (panel)</t>
        </is>
      </c>
      <c r="B39" s="49" t="inlineStr">
        <is>
          <t>2024</t>
        </is>
      </c>
      <c r="C39" s="87" t="n">
        <v>4130000</v>
      </c>
      <c r="D39" s="49" t="inlineStr">
        <is>
          <t>SEK p.a.</t>
        </is>
      </c>
      <c r="E39" s="49" t="inlineStr">
        <is>
          <t>Implies ~SEK 2,580/h at 1,600 billable hours or ~2,950/h at 1,400 (illustrative)</t>
        </is>
      </c>
      <c r="F39" s="49" t="inlineStr">
        <is>
          <t>https://www.realtid.se/affarer/154-miljarder-sa-klarade-affarsjuristerna-tullchocken/</t>
        </is>
      </c>
    </row>
    <row r="40">
      <c r="A40" s="49" t="inlineStr">
        <is>
          <t>Affärsvärlden fee income per lawyer (panel)</t>
        </is>
      </c>
      <c r="B40" s="49" t="inlineStr">
        <is>
          <t>2023</t>
        </is>
      </c>
      <c r="C40" s="87" t="n">
        <v>4220000</v>
      </c>
      <c r="D40" s="49" t="inlineStr">
        <is>
          <t>SEK p.a.</t>
        </is>
      </c>
      <c r="E40" s="49" t="inlineStr"/>
      <c r="F40" s="49" t="inlineStr">
        <is>
          <t>https://www.affarsvarlden.se/artikel/affarsjuristerna-om-trenden-pe-bolagen-kommer-vara-motorn</t>
        </is>
      </c>
    </row>
    <row r="41">
      <c r="A41" s="49" t="inlineStr">
        <is>
          <t>Norway: commercial litigation rates</t>
        </is>
      </c>
      <c r="B41" s="49" t="inlineStr">
        <is>
          <t>2026</t>
        </is>
      </c>
      <c r="C41" s="87" t="n">
        <v>3000</v>
      </c>
      <c r="D41" s="49" t="inlineStr">
        <is>
          <t>NOK/h (earlier level)</t>
        </is>
      </c>
      <c r="E41" s="49" t="inlineStr">
        <is>
          <t>Norwegian Government Attorney: rates of ~NOK 3,000/h have "doubled in a short time"</t>
        </is>
      </c>
      <c r="F41" s="49" t="inlineStr">
        <is>
          <t>https://www.realtid.se/juridik/regeringsadvokaten-slar-larm-advokatkostnaderna-skenar/</t>
        </is>
      </c>
    </row>
    <row r="43">
      <c r="A43" s="45" t="inlineStr">
        <is>
          <t>Gaps: no published rate cards found for Vinge, White &amp; Case, Setterwalls, Lindahl, Gernandt &amp; Danielsson, CMS Wistrand, Cirio, Baker McKenzie, Snellman, Foyen, Glimstedt, Eversheds, Fylgia, Hammarskiöld, Magnusson, Kahn Pedersen, Wigge, Kastell, Westerberg or TM &amp; Partners.</t>
        </is>
      </c>
    </row>
    <row r="44">
      <c r="A44" s="45" t="inlineStr">
        <is>
          <t>Routes to fill: client invoices (e.g. via Axo, requested); expert calls with Nordic GCs; confirm whether MAQS sell-side rates are list or realised.</t>
        </is>
      </c>
    </row>
  </sheetData>
  <mergeCells count="14">
    <mergeCell ref="A5:A6"/>
    <mergeCell ref="O5:O6"/>
    <mergeCell ref="N5:N6"/>
    <mergeCell ref="P5:P6"/>
    <mergeCell ref="Q5:Q6"/>
    <mergeCell ref="J5:K5"/>
    <mergeCell ref="L5:L6"/>
    <mergeCell ref="F5:G5"/>
    <mergeCell ref="D5:E5"/>
    <mergeCell ref="A2:Q2"/>
    <mergeCell ref="H5:I5"/>
    <mergeCell ref="M5:M6"/>
    <mergeCell ref="B5:B6"/>
    <mergeCell ref="C5:C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style="112" min="1" max="1"/>
    <col width="22" customWidth="1" style="112" min="2" max="2"/>
    <col width="12" customWidth="1" style="112" min="3" max="3"/>
    <col width="10" customWidth="1" style="112" min="4" max="4"/>
    <col width="11" customWidth="1" style="112" min="5" max="5"/>
    <col width="11" customWidth="1" style="112" min="6" max="6"/>
    <col width="11" customWidth="1" style="112" min="7" max="7"/>
    <col width="9" customWidth="1" style="112" min="8" max="8"/>
    <col width="22" customWidth="1" style="112" min="9" max="9"/>
    <col width="11" customWidth="1" style="112" min="10" max="10"/>
    <col width="11" customWidth="1" style="112" min="11" max="11"/>
    <col width="13" customWidth="1" style="112" min="12" max="12"/>
    <col width="10" customWidth="1" style="112" min="13" max="13"/>
    <col width="11" customWidth="1" style="112" min="14" max="14"/>
    <col width="10" customWidth="1" style="112" min="15" max="15"/>
    <col width="50" customWidth="1" style="112" min="16" max="16"/>
  </cols>
  <sheetData>
    <row r="1">
      <c r="A1" s="1" t="inlineStr">
        <is>
          <t>Section E. Partner compensation: profit pool per partner from filed annual reports</t>
        </is>
      </c>
    </row>
    <row r="2" ht="75" customHeight="1" s="112">
      <c r="A2" s="2" t="inlineStr">
        <is>
          <t>Source: annual reports filed with Bolagsverket, read via allabolag.se (Oct-2026); amounts SEK m. Swedish law firms pay partners mainly through the profit of the firm company (dividends to partners or their holding companies) plus any salary. "Profit pool per partner" = profit before tax (+ disclosed board/CEO salaries, typically partners) / partners: a proxy for AVERAGE equity-partner compensation before personal tax. It understates pay where partners are also on the payroll (salaries are not split out) and overstates local partner pay where profits flow to an international or cross-border partnership (amber rows). Limited partnerships (KB: Gernandt &amp; Danielsson, DLA Piper, Baker McKenzie, CMS Wistrand, Magnusson) do not file public accounts.</t>
        </is>
      </c>
    </row>
    <row r="4" ht="45" customHeight="1" s="112">
      <c r="A4" s="52" t="inlineStr">
        <is>
          <t>Firm</t>
        </is>
      </c>
      <c r="B4" s="52" t="inlineStr">
        <is>
          <t>Entities included (org.nr)</t>
        </is>
      </c>
      <c r="C4" s="52" t="inlineStr">
        <is>
          <t>FY</t>
        </is>
      </c>
      <c r="D4" s="52" t="inlineStr">
        <is>
          <t>Revenue</t>
        </is>
      </c>
      <c r="E4" s="52" t="inlineStr">
        <is>
          <t>Profit before tax</t>
        </is>
      </c>
      <c r="F4" s="52" t="inlineStr">
        <is>
          <t>Board / CEO salaries</t>
        </is>
      </c>
      <c r="G4" s="52" t="inlineStr">
        <is>
          <t>Proposed dividend</t>
        </is>
      </c>
      <c r="H4" s="52" t="inlineStr">
        <is>
          <t>Partners</t>
        </is>
      </c>
      <c r="I4" s="52" t="inlineStr">
        <is>
          <t>Partner source</t>
        </is>
      </c>
      <c r="J4" s="52" t="inlineStr">
        <is>
          <t>Profit pool / partner</t>
        </is>
      </c>
      <c r="K4" s="52" t="inlineStr">
        <is>
          <t>Dividend / partner</t>
        </is>
      </c>
      <c r="L4" s="52" t="inlineStr">
        <is>
          <t>Illustrative senior partner (1.4x avg)</t>
        </is>
      </c>
      <c r="M4" s="52" t="inlineStr">
        <is>
          <t>Employees</t>
        </is>
      </c>
      <c r="N4" s="52" t="inlineStr">
        <is>
          <t>Staff salaries / employee</t>
        </is>
      </c>
      <c r="O4" s="52" t="inlineStr">
        <is>
          <t>Reliability</t>
        </is>
      </c>
      <c r="P4" s="52" t="inlineStr">
        <is>
          <t>Notes</t>
        </is>
      </c>
    </row>
    <row r="5">
      <c r="A5" s="49" t="inlineStr">
        <is>
          <t>Mannheimer Swartling</t>
        </is>
      </c>
      <c r="B5" s="49" t="inlineStr">
        <is>
          <t>5563994499</t>
        </is>
      </c>
      <c r="C5" s="90" t="inlineStr">
        <is>
          <t>2025</t>
        </is>
      </c>
      <c r="D5" s="91" t="n">
        <v>2002.2</v>
      </c>
      <c r="E5" s="91" t="n">
        <v>797.4</v>
      </c>
      <c r="F5" s="91" t="n"/>
      <c r="G5" s="91" t="n">
        <v>617</v>
      </c>
      <c r="H5" s="90" t="n">
        <v>92</v>
      </c>
      <c r="I5" s="49" t="inlineStr">
        <is>
          <t>DJ via Realtid (dividend split)</t>
        </is>
      </c>
      <c r="J5" s="92">
        <f>(E5+N(F5))/H5</f>
        <v/>
      </c>
      <c r="K5" s="92">
        <f>G5/H5</f>
        <v/>
      </c>
      <c r="L5" s="92">
        <f>J5*1.4</f>
        <v/>
      </c>
      <c r="M5" s="90" t="n">
        <v>649</v>
      </c>
      <c r="N5" s="93">
        <f>496.0/M5</f>
        <v/>
      </c>
      <c r="O5" s="49" t="inlineStr">
        <is>
          <t>High</t>
        </is>
      </c>
      <c r="P5" s="49" t="inlineStr">
        <is>
          <t>Pure lockstep. Dividend SEK 617m per Dagens Juridik/Realtid (allabolag shows none). 2024: PBT 789.6, dividend 582.</t>
        </is>
      </c>
    </row>
    <row r="6">
      <c r="A6" s="49" t="inlineStr">
        <is>
          <t>Vinge</t>
        </is>
      </c>
      <c r="B6" s="49" t="inlineStr">
        <is>
          <t>5566907100, 5566866108, 5566886551</t>
        </is>
      </c>
      <c r="C6" s="90" t="inlineStr">
        <is>
          <t>2025</t>
        </is>
      </c>
      <c r="D6" s="91" t="n">
        <v>1446.6</v>
      </c>
      <c r="E6" s="91" t="n">
        <v>445.3</v>
      </c>
      <c r="F6" s="91" t="n">
        <v>52.3</v>
      </c>
      <c r="G6" s="91" t="n">
        <v>294</v>
      </c>
      <c r="H6" s="90" t="n">
        <v>71</v>
      </c>
      <c r="I6" s="49" t="inlineStr">
        <is>
          <t>Firm website, Oct-26</t>
        </is>
      </c>
      <c r="J6" s="92">
        <f>(E6+N(F6))/H6</f>
        <v/>
      </c>
      <c r="K6" s="92">
        <f>G6/H6</f>
        <v/>
      </c>
      <c r="L6" s="92">
        <f>J6*1.4</f>
        <v/>
      </c>
      <c r="M6" s="90" t="n">
        <v>529</v>
      </c>
      <c r="N6" s="93">
        <f>775.9/M6</f>
        <v/>
      </c>
      <c r="O6" s="49" t="inlineStr">
        <is>
          <t>Medium</t>
        </is>
      </c>
      <c r="P6" s="49" t="inlineStr">
        <is>
          <t>Stockholm + Malmö + Göteborg ABs. Realtid: Stockholm dividend 273m to 49 partners (SEK 5.5m each), Malmö 32m to 14. Partners may also draw salary (not split out).</t>
        </is>
      </c>
    </row>
    <row r="7">
      <c r="A7" s="69" t="inlineStr">
        <is>
          <t>Roschier (Sweden)</t>
        </is>
      </c>
      <c r="B7" s="69" t="inlineStr">
        <is>
          <t>5566865670</t>
        </is>
      </c>
      <c r="C7" s="94" t="inlineStr">
        <is>
          <t>FY Jun25-May26</t>
        </is>
      </c>
      <c r="D7" s="95" t="n">
        <v>1304.1</v>
      </c>
      <c r="E7" s="95" t="n">
        <v>646.4</v>
      </c>
      <c r="F7" s="95" t="n">
        <v>6</v>
      </c>
      <c r="G7" s="95" t="n">
        <v>508.9</v>
      </c>
      <c r="H7" s="94" t="n">
        <v>26</v>
      </c>
      <c r="I7" s="69" t="inlineStr">
        <is>
          <t>Firm website (Stockholm), Oct-26</t>
        </is>
      </c>
      <c r="J7" s="96">
        <f>(E7+N(F7))/H7</f>
        <v/>
      </c>
      <c r="K7" s="96">
        <f>G7/H7</f>
        <v/>
      </c>
      <c r="L7" s="96">
        <f>J7*1.4</f>
        <v/>
      </c>
      <c r="M7" s="94" t="n">
        <v>220</v>
      </c>
      <c r="N7" s="97">
        <f>234.9/M7</f>
        <v/>
      </c>
      <c r="O7" s="69" t="inlineStr">
        <is>
          <t>Low</t>
        </is>
      </c>
      <c r="P7" s="69" t="inlineStr">
        <is>
          <t>Profit likely pooled with Finnish practice (group 52 partners): SEK 12.4m per group partner on the same basis.</t>
        </is>
      </c>
    </row>
    <row r="8">
      <c r="A8" s="69" t="inlineStr">
        <is>
          <t>White &amp; Case (Stockholm)</t>
        </is>
      </c>
      <c r="B8" s="69" t="inlineStr">
        <is>
          <t>5562323922</t>
        </is>
      </c>
      <c r="C8" s="94" t="inlineStr">
        <is>
          <t>2025</t>
        </is>
      </c>
      <c r="D8" s="95" t="n">
        <v>1107.8</v>
      </c>
      <c r="E8" s="95" t="n">
        <v>239</v>
      </c>
      <c r="F8" s="95" t="n">
        <v>0.8</v>
      </c>
      <c r="G8" s="95" t="n">
        <v>198.1</v>
      </c>
      <c r="H8" s="94" t="n">
        <v>16</v>
      </c>
      <c r="I8" s="69" t="inlineStr">
        <is>
          <t>Implied (DJ)</t>
        </is>
      </c>
      <c r="J8" s="96">
        <f>(E8+N(F8))/H8</f>
        <v/>
      </c>
      <c r="K8" s="96">
        <f>G8/H8</f>
        <v/>
      </c>
      <c r="L8" s="96">
        <f>J8*1.4</f>
        <v/>
      </c>
      <c r="M8" s="94" t="n">
        <v>120</v>
      </c>
      <c r="N8" s="97">
        <f>105.3/M8</f>
        <v/>
      </c>
      <c r="O8" s="69" t="inlineStr">
        <is>
          <t>Low</t>
        </is>
      </c>
      <c r="P8" s="69" t="inlineStr">
        <is>
          <t>Global LLP: entity profit likely flows to the international partnership, not equal to local partner pay.</t>
        </is>
      </c>
    </row>
    <row r="9">
      <c r="A9" s="49" t="inlineStr">
        <is>
          <t>Setterwalls</t>
        </is>
      </c>
      <c r="B9" s="49" t="inlineStr">
        <is>
          <t>5568743230, 5565943221</t>
        </is>
      </c>
      <c r="C9" s="90" t="inlineStr">
        <is>
          <t>2025</t>
        </is>
      </c>
      <c r="D9" s="91" t="n">
        <v>705</v>
      </c>
      <c r="E9" s="91" t="n">
        <v>272.6</v>
      </c>
      <c r="F9" s="91" t="n"/>
      <c r="G9" s="91" t="n">
        <v>215.2</v>
      </c>
      <c r="H9" s="90" t="n">
        <v>38</v>
      </c>
      <c r="I9" s="49" t="inlineStr">
        <is>
          <t>Firm website, Oct-26</t>
        </is>
      </c>
      <c r="J9" s="92">
        <f>(E9+N(F9))/H9</f>
        <v/>
      </c>
      <c r="K9" s="92">
        <f>G9/H9</f>
        <v/>
      </c>
      <c r="L9" s="92">
        <f>J9*1.4</f>
        <v/>
      </c>
      <c r="M9" s="90" t="n">
        <v>217</v>
      </c>
      <c r="N9" s="93">
        <f>193.6/M9</f>
        <v/>
      </c>
      <c r="O9" s="49" t="inlineStr">
        <is>
          <t>Medium</t>
        </is>
      </c>
      <c r="P9" s="49" t="inlineStr">
        <is>
          <t>Stockholm + Göteborg operating ABs (parent AB is a pass-through). Malmö office excluded (left Sep-26).</t>
        </is>
      </c>
    </row>
    <row r="10">
      <c r="A10" s="49" t="inlineStr">
        <is>
          <t>Cederquist</t>
        </is>
      </c>
      <c r="B10" s="49" t="inlineStr">
        <is>
          <t>5569891277</t>
        </is>
      </c>
      <c r="C10" s="90" t="inlineStr">
        <is>
          <t>2025</t>
        </is>
      </c>
      <c r="D10" s="91" t="n"/>
      <c r="E10" s="91" t="n">
        <v>134.1</v>
      </c>
      <c r="F10" s="91" t="n">
        <v>0</v>
      </c>
      <c r="G10" s="91" t="n">
        <v>105.1</v>
      </c>
      <c r="H10" s="90" t="n">
        <v>26</v>
      </c>
      <c r="I10" s="49" t="inlineStr">
        <is>
          <t>Legal 500 (firm-supplied)</t>
        </is>
      </c>
      <c r="J10" s="92">
        <f>(E10+N(F10))/H10</f>
        <v/>
      </c>
      <c r="K10" s="92">
        <f>G10/H10</f>
        <v/>
      </c>
      <c r="L10" s="92">
        <f>J10*1.4</f>
        <v/>
      </c>
      <c r="M10" s="90" t="n"/>
      <c r="N10" s="98" t="n"/>
      <c r="O10" s="49" t="inlineStr">
        <is>
          <t>Low</t>
        </is>
      </c>
      <c r="P10" s="49" t="inlineStr">
        <is>
          <t>AB is a partner in the operating KB (profit share); may not capture all partners.</t>
        </is>
      </c>
    </row>
    <row r="11">
      <c r="A11" s="49" t="inlineStr">
        <is>
          <t>Cirio</t>
        </is>
      </c>
      <c r="B11" s="49" t="inlineStr">
        <is>
          <t>5569530008</t>
        </is>
      </c>
      <c r="C11" s="90" t="inlineStr">
        <is>
          <t>2025</t>
        </is>
      </c>
      <c r="D11" s="91" t="n">
        <v>430.6</v>
      </c>
      <c r="E11" s="91" t="n">
        <v>124.8</v>
      </c>
      <c r="F11" s="91" t="n">
        <v>6.5</v>
      </c>
      <c r="G11" s="91" t="n">
        <v>98</v>
      </c>
      <c r="H11" s="90" t="n">
        <v>27</v>
      </c>
      <c r="I11" s="49" t="inlineStr">
        <is>
          <t>Legal 500 (firm-supplied)</t>
        </is>
      </c>
      <c r="J11" s="92">
        <f>(E11+N(F11))/H11</f>
        <v/>
      </c>
      <c r="K11" s="92">
        <f>G11/H11</f>
        <v/>
      </c>
      <c r="L11" s="92">
        <f>J11*1.4</f>
        <v/>
      </c>
      <c r="M11" s="90" t="n">
        <v>127</v>
      </c>
      <c r="N11" s="93">
        <f>121.7/M11</f>
        <v/>
      </c>
      <c r="O11" s="49" t="inlineStr">
        <is>
          <t>Medium</t>
        </is>
      </c>
      <c r="P11" s="49" t="inlineStr">
        <is>
          <t>2024: PBT 122.9, dividend 96.7.</t>
        </is>
      </c>
    </row>
    <row r="12">
      <c r="A12" s="49" t="inlineStr">
        <is>
          <t>Snellman (Sweden)</t>
        </is>
      </c>
      <c r="B12" s="49" t="inlineStr">
        <is>
          <t>5567572101</t>
        </is>
      </c>
      <c r="C12" s="90" t="inlineStr">
        <is>
          <t>2025</t>
        </is>
      </c>
      <c r="D12" s="91" t="n">
        <v>279.4</v>
      </c>
      <c r="E12" s="91" t="n">
        <v>88.8</v>
      </c>
      <c r="F12" s="91" t="n">
        <v>4.2</v>
      </c>
      <c r="G12" s="91" t="n">
        <v>74.3</v>
      </c>
      <c r="H12" s="90" t="n">
        <v>17</v>
      </c>
      <c r="I12" s="49" t="inlineStr">
        <is>
          <t>Legal 500 (stale)</t>
        </is>
      </c>
      <c r="J12" s="92">
        <f>(E12+N(F12))/H12</f>
        <v/>
      </c>
      <c r="K12" s="92">
        <f>G12/H12</f>
        <v/>
      </c>
      <c r="L12" s="92">
        <f>J12*1.4</f>
        <v/>
      </c>
      <c r="M12" s="90" t="n">
        <v>107</v>
      </c>
      <c r="N12" s="93">
        <f>76.3/M12</f>
        <v/>
      </c>
      <c r="O12" s="49" t="inlineStr">
        <is>
          <t>Low</t>
        </is>
      </c>
      <c r="P12" s="49" t="inlineStr">
        <is>
          <t>Partner count unverified.</t>
        </is>
      </c>
    </row>
    <row r="13">
      <c r="A13" s="49" t="inlineStr">
        <is>
          <t>Delphi</t>
        </is>
      </c>
      <c r="B13" s="49" t="inlineStr">
        <is>
          <t>5566623293, 5566438163, 5563262913</t>
        </is>
      </c>
      <c r="C13" s="90" t="inlineStr">
        <is>
          <t>2025</t>
        </is>
      </c>
      <c r="D13" s="91" t="n">
        <v>355.8</v>
      </c>
      <c r="E13" s="91" t="n">
        <v>82.90000000000001</v>
      </c>
      <c r="F13" s="91" t="n"/>
      <c r="G13" s="91" t="n">
        <v>49</v>
      </c>
      <c r="H13" s="90" t="n">
        <v>49</v>
      </c>
      <c r="I13" s="49" t="inlineStr">
        <is>
          <t>Chambers (firm-supplied)</t>
        </is>
      </c>
      <c r="J13" s="92">
        <f>(E13+N(F13))/H13</f>
        <v/>
      </c>
      <c r="K13" s="92">
        <f>G13/H13</f>
        <v/>
      </c>
      <c r="L13" s="92">
        <f>J13*1.4</f>
        <v/>
      </c>
      <c r="M13" s="90" t="n">
        <v>126</v>
      </c>
      <c r="N13" s="93">
        <f>70.9/M13</f>
        <v/>
      </c>
      <c r="O13" s="49" t="inlineStr">
        <is>
          <t>Low</t>
        </is>
      </c>
      <c r="P13" s="49" t="inlineStr">
        <is>
          <t>Stockholm, Göteborg, Malmö ABs only (Östergötland missing). Low PBT relative to revenue suggests partners are paid largely via salary.</t>
        </is>
      </c>
    </row>
    <row r="14">
      <c r="A14" s="49" t="inlineStr">
        <is>
          <t>MAQS</t>
        </is>
      </c>
      <c r="B14" s="49" t="inlineStr">
        <is>
          <t>5569507733</t>
        </is>
      </c>
      <c r="C14" s="90" t="inlineStr">
        <is>
          <t>2025</t>
        </is>
      </c>
      <c r="D14" s="91" t="n">
        <v>324.3</v>
      </c>
      <c r="E14" s="91" t="n">
        <v>96.40000000000001</v>
      </c>
      <c r="F14" s="91" t="n"/>
      <c r="G14" s="91" t="n">
        <v>0</v>
      </c>
      <c r="H14" s="90" t="n">
        <v>48</v>
      </c>
      <c r="I14" s="49" t="inlineStr">
        <is>
          <t>Firm website, Oct-26</t>
        </is>
      </c>
      <c r="J14" s="92">
        <f>(E14+N(F14))/H14</f>
        <v/>
      </c>
      <c r="K14" s="92">
        <f>G14/H14</f>
        <v/>
      </c>
      <c r="L14" s="92">
        <f>J14*1.4</f>
        <v/>
      </c>
      <c r="M14" s="90" t="n">
        <v>121</v>
      </c>
      <c r="N14" s="93">
        <f>97.2/M14</f>
        <v/>
      </c>
      <c r="O14" s="49" t="inlineStr">
        <is>
          <t>Low</t>
        </is>
      </c>
      <c r="P14" s="49" t="inlineStr">
        <is>
          <t>Main AB only (~78% of Afv revenue). 2024 dividend 73.7. Partners likely partly salaried.</t>
        </is>
      </c>
    </row>
    <row r="15">
      <c r="A15" s="49" t="inlineStr">
        <is>
          <t>Hammarskiöld</t>
        </is>
      </c>
      <c r="B15" s="49" t="inlineStr">
        <is>
          <t>5565471637</t>
        </is>
      </c>
      <c r="C15" s="90" t="inlineStr">
        <is>
          <t>2025</t>
        </is>
      </c>
      <c r="D15" s="91" t="n">
        <v>178.3</v>
      </c>
      <c r="E15" s="91" t="n">
        <v>49.8</v>
      </c>
      <c r="F15" s="91" t="n"/>
      <c r="G15" s="91" t="n">
        <v>38.4</v>
      </c>
      <c r="H15" s="90" t="n"/>
      <c r="I15" s="49" t="inlineStr"/>
      <c r="J15" s="98" t="n"/>
      <c r="K15" s="98" t="n"/>
      <c r="L15" s="98" t="n"/>
      <c r="M15" s="90" t="n">
        <v>63</v>
      </c>
      <c r="N15" s="93">
        <f>58.6/M15</f>
        <v/>
      </c>
      <c r="O15" s="49" t="inlineStr">
        <is>
          <t>n/a</t>
        </is>
      </c>
      <c r="P15" s="49" t="inlineStr">
        <is>
          <t>Partner count not found.</t>
        </is>
      </c>
    </row>
    <row r="16">
      <c r="A16" s="49" t="inlineStr">
        <is>
          <t>Foyen</t>
        </is>
      </c>
      <c r="B16" s="49" t="inlineStr">
        <is>
          <t>5565837134</t>
        </is>
      </c>
      <c r="C16" s="90" t="inlineStr">
        <is>
          <t>2025</t>
        </is>
      </c>
      <c r="D16" s="91" t="n">
        <v>172.5</v>
      </c>
      <c r="E16" s="91" t="n">
        <v>46.1</v>
      </c>
      <c r="F16" s="91" t="n">
        <v>6</v>
      </c>
      <c r="G16" s="91" t="n">
        <v>35.9</v>
      </c>
      <c r="H16" s="90" t="n">
        <v>23</v>
      </c>
      <c r="I16" s="49" t="inlineStr">
        <is>
          <t>Firm website, Oct-26</t>
        </is>
      </c>
      <c r="J16" s="92">
        <f>(E16+N(F16))/H16</f>
        <v/>
      </c>
      <c r="K16" s="92">
        <f>G16/H16</f>
        <v/>
      </c>
      <c r="L16" s="92">
        <f>J16*1.4</f>
        <v/>
      </c>
      <c r="M16" s="90" t="n">
        <v>104</v>
      </c>
      <c r="N16" s="93">
        <f>72.3/M16</f>
        <v/>
      </c>
      <c r="O16" s="49" t="inlineStr">
        <is>
          <t>Medium</t>
        </is>
      </c>
      <c r="P16" s="49" t="inlineStr">
        <is>
          <t>Main Swedish AB.</t>
        </is>
      </c>
    </row>
    <row r="17">
      <c r="A17" s="49" t="inlineStr">
        <is>
          <t>Moll Wendén</t>
        </is>
      </c>
      <c r="B17" s="49" t="inlineStr">
        <is>
          <t>5566487939</t>
        </is>
      </c>
      <c r="C17" s="90" t="inlineStr">
        <is>
          <t>2025</t>
        </is>
      </c>
      <c r="D17" s="91" t="n">
        <v>101.3</v>
      </c>
      <c r="E17" s="91" t="n">
        <v>30.2</v>
      </c>
      <c r="F17" s="91" t="n"/>
      <c r="G17" s="91" t="n">
        <v>23.8</v>
      </c>
      <c r="H17" s="90" t="n">
        <v>8</v>
      </c>
      <c r="I17" s="49" t="inlineStr">
        <is>
          <t>Firm website, Oct-26</t>
        </is>
      </c>
      <c r="J17" s="92">
        <f>(E17+N(F17))/H17</f>
        <v/>
      </c>
      <c r="K17" s="92">
        <f>G17/H17</f>
        <v/>
      </c>
      <c r="L17" s="92">
        <f>J17*1.4</f>
        <v/>
      </c>
      <c r="M17" s="90" t="n">
        <v>44</v>
      </c>
      <c r="N17" s="98" t="n"/>
      <c r="O17" s="49" t="inlineStr">
        <is>
          <t>Medium</t>
        </is>
      </c>
      <c r="P17" s="49" t="inlineStr"/>
    </row>
    <row r="18">
      <c r="A18" s="49" t="inlineStr">
        <is>
          <t>TM &amp; Partners</t>
        </is>
      </c>
      <c r="B18" s="49" t="inlineStr">
        <is>
          <t>5566947163</t>
        </is>
      </c>
      <c r="C18" s="90" t="inlineStr">
        <is>
          <t>2025</t>
        </is>
      </c>
      <c r="D18" s="91" t="n">
        <v>102.5</v>
      </c>
      <c r="E18" s="91" t="n">
        <v>30.1</v>
      </c>
      <c r="F18" s="91" t="n">
        <v>4.6</v>
      </c>
      <c r="G18" s="91" t="n">
        <v>0</v>
      </c>
      <c r="H18" s="90" t="n">
        <v>18</v>
      </c>
      <c r="I18" s="49" t="inlineStr">
        <is>
          <t>Firm website, Oct-26</t>
        </is>
      </c>
      <c r="J18" s="92">
        <f>(E18+N(F18))/H18</f>
        <v/>
      </c>
      <c r="K18" s="92">
        <f>G18/H18</f>
        <v/>
      </c>
      <c r="L18" s="92">
        <f>J18*1.4</f>
        <v/>
      </c>
      <c r="M18" s="90" t="n">
        <v>73</v>
      </c>
      <c r="N18" s="93">
        <f>54.2/M18</f>
        <v/>
      </c>
      <c r="O18" s="49" t="inlineStr">
        <is>
          <t>Low</t>
        </is>
      </c>
      <c r="P18" s="49" t="inlineStr">
        <is>
          <t>Part of AGRD (PE-owned) since 2025; post-deal economics differ.</t>
        </is>
      </c>
    </row>
    <row r="19">
      <c r="A19" s="49" t="inlineStr">
        <is>
          <t>Westerberg &amp; Partners</t>
        </is>
      </c>
      <c r="B19" s="49" t="inlineStr">
        <is>
          <t>5591623268</t>
        </is>
      </c>
      <c r="C19" s="90" t="inlineStr">
        <is>
          <t>2025</t>
        </is>
      </c>
      <c r="D19" s="91" t="n">
        <v>106.5</v>
      </c>
      <c r="E19" s="91" t="n">
        <v>24.7</v>
      </c>
      <c r="F19" s="91" t="n">
        <v>5</v>
      </c>
      <c r="G19" s="91" t="n">
        <v>19.3</v>
      </c>
      <c r="H19" s="90" t="n">
        <v>12</v>
      </c>
      <c r="I19" s="49" t="inlineStr">
        <is>
          <t>Firm website, Oct-26</t>
        </is>
      </c>
      <c r="J19" s="92">
        <f>(E19+N(F19))/H19</f>
        <v/>
      </c>
      <c r="K19" s="92">
        <f>G19/H19</f>
        <v/>
      </c>
      <c r="L19" s="92">
        <f>J19*1.4</f>
        <v/>
      </c>
      <c r="M19" s="90" t="n">
        <v>35</v>
      </c>
      <c r="N19" s="93">
        <f>22.7/M19</f>
        <v/>
      </c>
      <c r="O19" s="49" t="inlineStr">
        <is>
          <t>Medium</t>
        </is>
      </c>
      <c r="P19" s="49" t="inlineStr"/>
    </row>
    <row r="20">
      <c r="A20" s="49" t="inlineStr">
        <is>
          <t>Harvest</t>
        </is>
      </c>
      <c r="B20" s="49" t="inlineStr">
        <is>
          <t>5590700224</t>
        </is>
      </c>
      <c r="C20" s="90" t="inlineStr">
        <is>
          <t>2025</t>
        </is>
      </c>
      <c r="D20" s="91" t="n">
        <v>82.3</v>
      </c>
      <c r="E20" s="91" t="n">
        <v>22.9</v>
      </c>
      <c r="F20" s="91" t="n"/>
      <c r="G20" s="91" t="n">
        <v>17.8</v>
      </c>
      <c r="H20" s="90" t="n">
        <v>5</v>
      </c>
      <c r="I20" s="49" t="inlineStr">
        <is>
          <t>Firm website, Oct-26</t>
        </is>
      </c>
      <c r="J20" s="92">
        <f>(E20+N(F20))/H20</f>
        <v/>
      </c>
      <c r="K20" s="92">
        <f>G20/H20</f>
        <v/>
      </c>
      <c r="L20" s="92">
        <f>J20*1.4</f>
        <v/>
      </c>
      <c r="M20" s="90" t="n">
        <v>27</v>
      </c>
      <c r="N20" s="98" t="n"/>
      <c r="O20" s="49" t="inlineStr">
        <is>
          <t>Medium</t>
        </is>
      </c>
      <c r="P20" s="49" t="inlineStr"/>
    </row>
    <row r="21">
      <c r="A21" s="49" t="inlineStr">
        <is>
          <t>Synch</t>
        </is>
      </c>
      <c r="B21" s="49" t="inlineStr">
        <is>
          <t>5569556656</t>
        </is>
      </c>
      <c r="C21" s="90" t="inlineStr">
        <is>
          <t>2025</t>
        </is>
      </c>
      <c r="D21" s="91" t="n">
        <v>81.40000000000001</v>
      </c>
      <c r="E21" s="91" t="n">
        <v>20.3</v>
      </c>
      <c r="F21" s="91" t="n"/>
      <c r="G21" s="91" t="n">
        <v>0</v>
      </c>
      <c r="H21" s="90" t="n">
        <v>9</v>
      </c>
      <c r="I21" s="49" t="inlineStr">
        <is>
          <t>Firm website, Oct-26</t>
        </is>
      </c>
      <c r="J21" s="92">
        <f>(E21+N(F21))/H21</f>
        <v/>
      </c>
      <c r="K21" s="92">
        <f>G21/H21</f>
        <v/>
      </c>
      <c r="L21" s="92">
        <f>J21*1.4</f>
        <v/>
      </c>
      <c r="M21" s="90" t="n">
        <v>38</v>
      </c>
      <c r="N21" s="98" t="n"/>
      <c r="O21" s="49" t="inlineStr">
        <is>
          <t>Low</t>
        </is>
      </c>
      <c r="P21" s="49" t="inlineStr">
        <is>
          <t>Part of AGRD (PE-owned) since 2025.</t>
        </is>
      </c>
    </row>
    <row r="22">
      <c r="A22" s="49" t="inlineStr">
        <is>
          <t>Kastell</t>
        </is>
      </c>
      <c r="B22" s="49" t="inlineStr">
        <is>
          <t>5568116494</t>
        </is>
      </c>
      <c r="C22" s="90" t="inlineStr">
        <is>
          <t>2025</t>
        </is>
      </c>
      <c r="D22" s="91" t="n">
        <v>79.59999999999999</v>
      </c>
      <c r="E22" s="91" t="n">
        <v>16.9</v>
      </c>
      <c r="F22" s="91" t="n"/>
      <c r="G22" s="91" t="n">
        <v>15.2</v>
      </c>
      <c r="H22" s="90" t="n">
        <v>9</v>
      </c>
      <c r="I22" s="49" t="inlineStr">
        <is>
          <t>Firm website, Oct-26</t>
        </is>
      </c>
      <c r="J22" s="92">
        <f>(E22+N(F22))/H22</f>
        <v/>
      </c>
      <c r="K22" s="92">
        <f>G22/H22</f>
        <v/>
      </c>
      <c r="L22" s="92">
        <f>J22*1.4</f>
        <v/>
      </c>
      <c r="M22" s="90" t="n">
        <v>21</v>
      </c>
      <c r="N22" s="98" t="n"/>
      <c r="O22" s="49" t="inlineStr">
        <is>
          <t>Medium</t>
        </is>
      </c>
      <c r="P22" s="49" t="inlineStr"/>
    </row>
    <row r="23">
      <c r="A23" s="49" t="inlineStr">
        <is>
          <t>Eversheds Sutherland</t>
        </is>
      </c>
      <c r="B23" s="49" t="inlineStr">
        <is>
          <t>5568782774</t>
        </is>
      </c>
      <c r="C23" s="90" t="inlineStr">
        <is>
          <t>2025</t>
        </is>
      </c>
      <c r="D23" s="91" t="n">
        <v>165.5</v>
      </c>
      <c r="E23" s="91" t="n">
        <v>21.1</v>
      </c>
      <c r="F23" s="91" t="n"/>
      <c r="G23" s="91" t="n">
        <v>16.5</v>
      </c>
      <c r="H23" s="90" t="n"/>
      <c r="I23" s="49" t="inlineStr"/>
      <c r="J23" s="98" t="n"/>
      <c r="K23" s="98" t="n"/>
      <c r="L23" s="98" t="n"/>
      <c r="M23" s="90" t="n">
        <v>59</v>
      </c>
      <c r="N23" s="93">
        <f>49.4/M23</f>
        <v/>
      </c>
      <c r="O23" s="49" t="inlineStr">
        <is>
          <t>n/a</t>
        </is>
      </c>
      <c r="P23" s="49" t="inlineStr">
        <is>
          <t>Partner count not found.</t>
        </is>
      </c>
    </row>
    <row r="25">
      <c r="A25" s="45" t="inlineStr">
        <is>
          <t>Reading the table: e.g. Mannheimer Swartling SEK 797m profit before tax / 92 partners = SEK 8.7m average per partner before corporate and personal tax; dividend SEK 6.7m per partner (after 20.6% corporate tax).</t>
        </is>
      </c>
    </row>
    <row r="26">
      <c r="A26" s="45" t="inlineStr">
        <is>
          <t>Senior partner: Mannheimer Swartling operates a pure lockstep (profit shares rise with seniority to a plateau). Individual point scales are not published. The illustrative column assumes a top-of-ladder partner earns ~1.4x the average (consistent with a 1:2.5 entry-to-top lockstep ladder); this is an assumption, not reported data.</t>
        </is>
      </c>
    </row>
    <row r="27">
      <c r="A27" s="45" t="inlineStr">
        <is>
          <t>Tax treatment: partners owning &lt;4% of the firm company have nearly all of their profit share taxed as salary income (rule since 2014, per Advokaten), so profit-pool figures are pre-personal-tax.</t>
        </is>
      </c>
    </row>
    <row r="28">
      <c r="A28" s="45" t="inlineStr">
        <is>
          <t>Individual taxed income is public in Sweden (Skatteverket), but compiling named individuals' income is personal data processing under GDPR; this sheet uses firm-level filed accounts only.</t>
        </is>
      </c>
    </row>
    <row r="29">
      <c r="A29" s="45" t="inlineStr">
        <is>
          <t>Staff salaries / employee = "Löner övriga" / average employees (SEK m): an average across associates and support staff (and partners where on payroll).</t>
        </is>
      </c>
    </row>
    <row r="31">
      <c r="A31" s="47" t="inlineStr">
        <is>
          <t>Context: SCB salary statistics, private-sector employees, monthly salary (SEK), 2025</t>
        </is>
      </c>
    </row>
    <row r="32">
      <c r="A32" s="99" t="inlineStr">
        <is>
          <t>Occupation (SSYK 2012)</t>
        </is>
      </c>
      <c r="B32" s="99" t="inlineStr">
        <is>
          <t>Mean</t>
        </is>
      </c>
      <c r="C32" s="99" t="inlineStr">
        <is>
          <t>P10</t>
        </is>
      </c>
      <c r="D32" s="99" t="inlineStr">
        <is>
          <t>P25</t>
        </is>
      </c>
      <c r="E32" s="99" t="inlineStr">
        <is>
          <t>Median</t>
        </is>
      </c>
      <c r="F32" s="99" t="inlineStr">
        <is>
          <t>P75</t>
        </is>
      </c>
      <c r="G32" s="99" t="inlineStr">
        <is>
          <t>P90</t>
        </is>
      </c>
      <c r="H32" s="99" t="inlineStr">
        <is>
          <t>P90 annualised (x12)</t>
        </is>
      </c>
    </row>
    <row r="33">
      <c r="A33" s="6" t="inlineStr">
        <is>
          <t>2611 Advokater</t>
        </is>
      </c>
      <c r="B33" s="100" t="n">
        <v>70200</v>
      </c>
      <c r="C33" s="100" t="n">
        <v>47200</v>
      </c>
      <c r="D33" s="100" t="n">
        <v>54800</v>
      </c>
      <c r="E33" s="100" t="n">
        <v>66000</v>
      </c>
      <c r="F33" s="100" t="n">
        <v>80000</v>
      </c>
      <c r="G33" s="100" t="n">
        <v>100000</v>
      </c>
      <c r="H33" s="100">
        <f>G33*12</f>
        <v/>
      </c>
    </row>
    <row r="34">
      <c r="A34" s="6" t="inlineStr">
        <is>
          <t>2614 Business &amp; corporate lawyers</t>
        </is>
      </c>
      <c r="B34" s="100" t="n">
        <v>73000</v>
      </c>
      <c r="C34" s="100" t="n">
        <v>40700</v>
      </c>
      <c r="D34" s="100" t="n">
        <v>50000</v>
      </c>
      <c r="E34" s="100" t="n">
        <v>67800</v>
      </c>
      <c r="F34" s="100" t="n">
        <v>86400</v>
      </c>
      <c r="G34" s="100" t="n">
        <v>109100</v>
      </c>
      <c r="H34" s="100">
        <f>G34*12</f>
        <v/>
      </c>
    </row>
    <row r="35">
      <c r="A35" s="45" t="inlineStr">
        <is>
          <t>SCB table AM0110A/LoneSpridSektYrk4AN (salaried employees only; equity partners paid via profit shares are not captured). 2611 mean rose from 58,600 (2023) to 70,200 (2025).</t>
        </is>
      </c>
    </row>
    <row r="38">
      <c r="A38" s="47" t="inlineStr">
        <is>
          <t>E2. Published press reporting on partner incomes (firm-level aggregates only; no individuals listed)</t>
        </is>
      </c>
    </row>
    <row r="39">
      <c r="A39" s="99" t="inlineStr">
        <is>
          <t>Publication</t>
        </is>
      </c>
      <c r="B39" s="99" t="inlineStr">
        <is>
          <t>Date</t>
        </is>
      </c>
      <c r="C39" s="99" t="inlineStr">
        <is>
          <t>Income year</t>
        </is>
      </c>
      <c r="D39" s="99" t="inlineStr">
        <is>
          <t>Measure</t>
        </is>
      </c>
      <c r="E39" s="99" t="inlineStr">
        <is>
          <t>Firm</t>
        </is>
      </c>
      <c r="F39" s="99" t="inlineStr">
        <is>
          <t>Firm-level figures reported</t>
        </is>
      </c>
      <c r="G39" s="99" t="inlineStr">
        <is>
          <t>Notes</t>
        </is>
      </c>
      <c r="H39" s="99" t="inlineStr">
        <is>
          <t>Source</t>
        </is>
      </c>
    </row>
    <row r="40">
      <c r="A40" s="49" t="inlineStr">
        <is>
          <t>Dagens Juridik (via Realtid)</t>
        </is>
      </c>
      <c r="B40" s="49" t="inlineStr">
        <is>
          <t>Aug-2026</t>
        </is>
      </c>
      <c r="C40" s="49" t="inlineStr">
        <is>
          <t>FY2025</t>
        </is>
      </c>
      <c r="D40" s="49" t="inlineStr">
        <is>
          <t>Proposed dividend (annual report)</t>
        </is>
      </c>
      <c r="E40" s="49" t="inlineStr">
        <is>
          <t>Mannheimer Swartling</t>
        </is>
      </c>
      <c r="F40" s="49" t="inlineStr">
        <is>
          <t>Pool SEK 617m (prior 582m); ~SEK 6.8m per partner (92)</t>
        </is>
      </c>
      <c r="G40" s="49" t="inlineStr">
        <is>
          <t>Lockstep: payout rises with seniority</t>
        </is>
      </c>
      <c r="H40" s="49" t="inlineStr">
        <is>
          <t>https://www.realtid.se/juridik/vinge-tappar-mark-mannheimer-swartling-drar-ifran/</t>
        </is>
      </c>
    </row>
    <row r="41">
      <c r="A41" s="49" t="inlineStr">
        <is>
          <t>Dagens Juridik (via Realtid)</t>
        </is>
      </c>
      <c r="B41" s="49" t="inlineStr">
        <is>
          <t>Aug-2026</t>
        </is>
      </c>
      <c r="C41" s="49" t="inlineStr">
        <is>
          <t>FY2025</t>
        </is>
      </c>
      <c r="D41" s="49" t="inlineStr">
        <is>
          <t>Proposed dividend (annual report)</t>
        </is>
      </c>
      <c r="E41" s="49" t="inlineStr">
        <is>
          <t>Vinge</t>
        </is>
      </c>
      <c r="F41" s="49" t="inlineStr">
        <is>
          <t>Stockholm SEK 273m to 49 partners (~5.5m each); Malmö 32m to 14 (~2.3m each)</t>
        </is>
      </c>
      <c r="G41" s="49" t="inlineStr">
        <is>
          <t>Paid to partners' holding companies; Göteborg not reported</t>
        </is>
      </c>
      <c r="H41" s="49" t="inlineStr">
        <is>
          <t>https://www.realtid.se/juridik/vinge-tappar-mark-mannheimer-swartling-drar-ifran/</t>
        </is>
      </c>
    </row>
    <row r="42">
      <c r="A42" s="49" t="inlineStr">
        <is>
          <t>Dagens Juridik (citing DI)</t>
        </is>
      </c>
      <c r="B42" s="49" t="inlineStr">
        <is>
          <t>Jul-2025</t>
        </is>
      </c>
      <c r="C42" s="49" t="inlineStr">
        <is>
          <t>2020-2023</t>
        </is>
      </c>
      <c r="D42" s="49" t="inlineStr">
        <is>
          <t>Tax reassessment of employment income</t>
        </is>
      </c>
      <c r="E42" s="49" t="inlineStr">
        <is>
          <t>Vinge (Göteborg)</t>
        </is>
      </c>
      <c r="F42" s="49" t="inlineStr">
        <is>
          <t>13 partners reassessed by ~SEK 141m in total (~10.8m each over 4 years); ~70m tax + &gt;20m penalties</t>
        </is>
      </c>
      <c r="G42" s="49" t="inlineStr">
        <is>
          <t>Profits routed to partners' companies via share buybacks; under appeal</t>
        </is>
      </c>
      <c r="H42" s="49" t="inlineStr">
        <is>
          <t>https://www.dagensjuridik.se/nyheter/vingeadvokater-upptaxerade-med-140-miljoner/</t>
        </is>
      </c>
    </row>
    <row r="43">
      <c r="A43" s="49" t="inlineStr">
        <is>
          <t>Dagens Juridik</t>
        </is>
      </c>
      <c r="B43" s="49" t="inlineStr">
        <is>
          <t>Oct-2026</t>
        </is>
      </c>
      <c r="C43" s="49" t="inlineStr">
        <is>
          <t>2025</t>
        </is>
      </c>
      <c r="D43" s="49" t="inlineStr">
        <is>
          <t>Revenue per partner (not pay)</t>
        </is>
      </c>
      <c r="E43" s="49" t="inlineStr">
        <is>
          <t>White &amp; Case (top)</t>
        </is>
      </c>
      <c r="F43" s="49" t="inlineStr">
        <is>
          <t>~SEK 69m revenue per partner</t>
        </is>
      </c>
      <c r="G43" s="49" t="inlineStr">
        <is>
          <t>Paywalled; others not visible</t>
        </is>
      </c>
      <c r="H43" s="49" t="inlineStr">
        <is>
          <t>https://www.dagensjuridik.se/nyheter/sa-mycket-drar-delagarna-in-i-snitt-white-case-toppar/</t>
        </is>
      </c>
    </row>
    <row r="44">
      <c r="A44" s="49" t="inlineStr">
        <is>
          <t>Affärsvärlden</t>
        </is>
      </c>
      <c r="B44" s="49" t="inlineStr">
        <is>
          <t>Apr-2023 / May-2022</t>
        </is>
      </c>
      <c r="C44" s="49" t="inlineStr">
        <is>
          <t>2022 / 2021</t>
        </is>
      </c>
      <c r="D44" s="49" t="inlineStr">
        <is>
          <t>Revenue per partner (not pay)</t>
        </is>
      </c>
      <c r="E44" s="49" t="inlineStr">
        <is>
          <t>White &amp; Case; Roschier; industry</t>
        </is>
      </c>
      <c r="F44" s="49" t="inlineStr">
        <is>
          <t>W&amp;C SEK 54m (2022), ~42m (2021); Roschier 34-35m; industry average ~13m (2021)</t>
        </is>
      </c>
      <c r="G44" s="49" t="inlineStr"/>
      <c r="H44" s="49" t="inlineStr">
        <is>
          <t>https://www.affarsvarlden.se/artikel/stor-kartlaggning-av-affarsjuristerna-har-ar-byraerna-som-drar-in-mest</t>
        </is>
      </c>
    </row>
    <row r="45">
      <c r="A45" s="49" t="inlineStr">
        <is>
          <t>Realtid</t>
        </is>
      </c>
      <c r="B45" s="49" t="inlineStr">
        <is>
          <t>2009-2012</t>
        </is>
      </c>
      <c r="C45" s="49" t="inlineStr">
        <is>
          <t>FY2008-FY2011</t>
        </is>
      </c>
      <c r="D45" s="49" t="inlineStr">
        <is>
          <t>Dividend per partner</t>
        </is>
      </c>
      <c r="E45" s="49" t="inlineStr">
        <is>
          <t>MSA; Vinge; Setterwalls Göteborg</t>
        </is>
      </c>
      <c r="F45" s="49" t="inlineStr">
        <is>
          <t>MSA ~SEK 2.0-2.6m average; Vinge Stockholm ~2.35m; Setterwalls Gbg ~1.4m</t>
        </is>
      </c>
      <c r="G45" s="49" t="inlineStr">
        <is>
          <t>Historical context: FY2025 averages are ~2.5-3x higher</t>
        </is>
      </c>
      <c r="H45" s="49" t="inlineStr">
        <is>
          <t>https://www.realtid.se/bors-finans/vinge-bracker-miljardvallen-igen/</t>
        </is>
      </c>
    </row>
    <row r="46">
      <c r="A46" s="49" t="inlineStr">
        <is>
          <t>Affärsvärlden</t>
        </is>
      </c>
      <c r="B46" s="49" t="inlineStr">
        <is>
          <t>Aug-2004</t>
        </is>
      </c>
      <c r="C46" s="49" t="inlineStr">
        <is>
          <t>2002 tax returns + 2003 accounts</t>
        </is>
      </c>
      <c r="D46" s="49" t="inlineStr">
        <is>
          <t>Taxed income + profit share to holding companies</t>
        </is>
      </c>
      <c r="E46" s="49" t="inlineStr">
        <is>
          <t>MSA, Hammarskiöld, G&amp;D, White &amp; Case, Cederquist, Vinge, Wistrand</t>
        </is>
      </c>
      <c r="F46" s="49" t="inlineStr">
        <is>
          <t>Average taxed income SEK 2.1m (135 lawyers). Top-34 ranges: MSA 3.3-5.1m, Hammarskiöld 3.4-5.9m, G&amp;D 3.2-4.7m, W&amp;C 3.0-6.3m, Cederquist 3.4-6.9m. Vinge partners declared ~0.9-1.3m but holding companies received 3.9-9.6m; Wistrand 4.6-6.3m</t>
        </is>
      </c>
      <c r="G46" s="49" t="inlineStr">
        <is>
          <t>Shows structure effect (lockstep salary vs holding-company dividends)</t>
        </is>
      </c>
      <c r="H46" s="49" t="inlineStr">
        <is>
          <t>https://www.affarsvarlden.se/artikel/stjarnadvokaternas-miljonloner-6731326</t>
        </is>
      </c>
    </row>
    <row r="47">
      <c r="A47" s="49" t="inlineStr">
        <is>
          <t>Affärsvärlden</t>
        </is>
      </c>
      <c r="B47" s="49" t="inlineStr">
        <is>
          <t>Aug-2003</t>
        </is>
      </c>
      <c r="C47" s="49" t="inlineStr">
        <is>
          <t>2001</t>
        </is>
      </c>
      <c r="D47" s="49" t="inlineStr">
        <is>
          <t>Declared taxed income + profit share</t>
        </is>
      </c>
      <c r="E47" s="49" t="inlineStr">
        <is>
          <t>64 lawyers across firms</t>
        </is>
      </c>
      <c r="F47" s="49" t="inlineStr">
        <is>
          <t>Average SEK 1.8m; Vinge partners' holding companies up to ~14-16m vs declared salary ~1.3m</t>
        </is>
      </c>
      <c r="G47" s="49" t="inlineStr">
        <is>
          <t>Lockstep vs eat-what-you-kill comparison</t>
        </is>
      </c>
      <c r="H47" s="49" t="inlineStr">
        <is>
          <t>https://www.affarsvarlden.se/artikel/toppadvokaterna-havar-in-miljoner-6750635</t>
        </is>
      </c>
    </row>
    <row r="49">
      <c r="A49" s="45" t="inlineStr">
        <is>
          <t>No Swedish press ranking of business lawyers by taxed income was found for 2020-2026 (recent "best-paid lawyer" lists cover public defenders' state fees, not business law). DI, Expressen and Aftonbladet could not be checked directly.</t>
        </is>
      </c>
    </row>
    <row r="50">
      <c r="A50" s="45" t="inlineStr">
        <is>
          <t>Structure decides what tax records show: lockstep firms (MSA, Setterwalls, Lindahl) pay largely as salary (partners appear at ~SEK 3-7m); firms paying via partner holding companies (e.g. Vinge) show low declared income (~SEK 1-1.5m) while holding companies receive far more.</t>
        </is>
      </c>
    </row>
    <row r="51">
      <c r="A51" s="45" t="inlineStr">
        <is>
          <t>Implication: FY2025 average distributions of ~SEK 5.5-7m per partner at the top firms suggest senior partners earn SEK 10m+ (inference, consistent with the 1.4x illustration above).</t>
        </is>
      </c>
    </row>
  </sheetData>
  <mergeCells count="1">
    <mergeCell ref="A2:P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cols>
    <col width="18" customWidth="1" style="112" min="1" max="1"/>
    <col width="22" customWidth="1" style="112" min="2" max="2"/>
    <col width="26" customWidth="1" style="112" min="3" max="3"/>
    <col width="28" customWidth="1" style="112" min="4" max="4"/>
    <col width="14" customWidth="1" style="112" min="5" max="5"/>
    <col width="22" customWidth="1" style="112" min="6" max="6"/>
    <col width="26" customWidth="1" style="112" min="7" max="7"/>
    <col width="40" customWidth="1" style="112" min="8" max="8"/>
    <col width="50" customWidth="1" style="112" min="9" max="9"/>
  </cols>
  <sheetData>
    <row r="1">
      <c r="A1" s="1" t="inlineStr">
        <is>
          <t>Section F. Consolidation and team lifts: Swedish business law, Jan 2020 - Oct 2026</t>
        </is>
      </c>
    </row>
    <row r="2" ht="45" customHeight="1" s="112">
      <c r="A2" s="2" t="inlineStr">
        <is>
          <t>Team lift = 2+ partners or 5+ lawyers moving together from one firm within ~12 months. Dates from article metadata (search-index dates are unreliable). Sources: Realtid, Dagens Juridik (paywalled: headline/lead only), Affärsvärlden, Advokatbladet, Legal 500 2026 firm pages, firm press releases. "1-src" = single source. Coverage of 2020-2023 is thinner (Legal 500 reflects ~2024-26; international legal press paywalled).</t>
        </is>
      </c>
    </row>
    <row r="4">
      <c r="A4" s="47" t="inlineStr">
        <is>
          <t>F1. Mergers, acquisitions, PE roll-ups, market entries and splits</t>
        </is>
      </c>
    </row>
    <row r="5">
      <c r="A5" s="52" t="inlineStr">
        <is>
          <t>Date (announced / effective)</t>
        </is>
      </c>
      <c r="B5" s="52" t="inlineStr">
        <is>
          <t>Type</t>
        </is>
      </c>
      <c r="C5" s="52" t="inlineStr">
        <is>
          <t>Acquirer / surviving firm</t>
        </is>
      </c>
      <c r="D5" s="52" t="inlineStr">
        <is>
          <t>Target / source</t>
        </is>
      </c>
      <c r="E5" s="52" t="inlineStr">
        <is>
          <t>Partners</t>
        </is>
      </c>
      <c r="F5" s="52" t="inlineStr">
        <is>
          <t>People</t>
        </is>
      </c>
      <c r="G5" s="52" t="inlineStr">
        <is>
          <t>Practice / office</t>
        </is>
      </c>
      <c r="H5" s="52" t="inlineStr">
        <is>
          <t>Notes</t>
        </is>
      </c>
      <c r="I5" s="52" t="inlineStr">
        <is>
          <t>Source</t>
        </is>
      </c>
    </row>
    <row r="6">
      <c r="A6" s="105" t="inlineStr">
        <is>
          <t>Oct-2019 / Jan-2020</t>
        </is>
      </c>
      <c r="B6" s="105" t="inlineStr">
        <is>
          <t>Market entry (merger)</t>
        </is>
      </c>
      <c r="C6" s="105" t="inlineStr">
        <is>
          <t>Schjødt (Norway)</t>
        </is>
      </c>
      <c r="D6" s="105" t="inlineStr">
        <is>
          <t>Hamilton Advokatbyrå</t>
        </is>
      </c>
      <c r="E6" s="105" t="inlineStr"/>
      <c r="F6" s="105" t="inlineStr">
        <is>
          <t>~65 lawyers</t>
        </is>
      </c>
      <c r="G6" s="105" t="inlineStr">
        <is>
          <t>Full service, Stockholm</t>
        </is>
      </c>
      <c r="H6" s="105" t="inlineStr">
        <is>
          <t>Hamilton 2018 revenue SEK 215m; Norwegian-Swedish one-stop shop</t>
        </is>
      </c>
      <c r="I6" s="105" t="inlineStr">
        <is>
          <t>realtid.se/bors-finans/hamilton-gar-ihop-med-norska-byran-schjodt/</t>
        </is>
      </c>
    </row>
    <row r="7">
      <c r="A7" s="49" t="inlineStr">
        <is>
          <t>Jan-2020</t>
        </is>
      </c>
      <c r="B7" s="49" t="inlineStr">
        <is>
          <t>Merger</t>
        </is>
      </c>
      <c r="C7" s="49" t="inlineStr">
        <is>
          <t>Time Danowsky</t>
        </is>
      </c>
      <c r="D7" s="49" t="inlineStr">
        <is>
          <t>Time Advokatbyrå + Danowsky &amp; Partners</t>
        </is>
      </c>
      <c r="E7" s="49" t="inlineStr"/>
      <c r="F7" s="49" t="inlineStr">
        <is>
          <t>27 staff combined</t>
        </is>
      </c>
      <c r="G7" s="49" t="inlineStr">
        <is>
          <t>Tech, media</t>
        </is>
      </c>
      <c r="H7" s="49" t="inlineStr">
        <is>
          <t>1-src</t>
        </is>
      </c>
      <c r="I7" s="49" t="inlineStr">
        <is>
          <t>realtid.se/bors-finans/advokatbyran-time-danowsky-bildas-efter-sammanslagning/</t>
        </is>
      </c>
    </row>
    <row r="8">
      <c r="A8" s="106" t="inlineStr">
        <is>
          <t>Nov-2021 / Jan-2022</t>
        </is>
      </c>
      <c r="B8" s="106" t="inlineStr">
        <is>
          <t>Split / exit</t>
        </is>
      </c>
      <c r="C8" s="106" t="inlineStr">
        <is>
          <t>Born Advokater (Sthlm); Norma Advokater (Gbg)</t>
        </is>
      </c>
      <c r="D8" s="106" t="inlineStr">
        <is>
          <t>Glimstedt Stockholm and Göteborg offices</t>
        </is>
      </c>
      <c r="E8" s="106" t="inlineStr"/>
      <c r="F8" s="106" t="inlineStr"/>
      <c r="G8" s="106" t="inlineStr">
        <is>
          <t>Banking &amp; finance, real estate, M&amp;A</t>
        </is>
      </c>
      <c r="H8" s="106" t="inlineStr">
        <is>
          <t>Offices left Glimstedt brand; Born later a founding AGRD firm. 1-src</t>
        </is>
      </c>
      <c r="I8" s="106" t="inlineStr">
        <is>
          <t>realtid.se/bors-finans/glimstedt-renodlar-verksamheten/</t>
        </is>
      </c>
    </row>
    <row r="9">
      <c r="A9" s="105" t="inlineStr">
        <is>
          <t>Nov-2023 / Mar-2024</t>
        </is>
      </c>
      <c r="B9" s="105" t="inlineStr">
        <is>
          <t>Market entry (membership)</t>
        </is>
      </c>
      <c r="C9" s="105" t="inlineStr">
        <is>
          <t>CMS</t>
        </is>
      </c>
      <c r="D9" s="105" t="inlineStr">
        <is>
          <t>Wistrand (now CMS Wistrand)</t>
        </is>
      </c>
      <c r="E9" s="105" t="inlineStr"/>
      <c r="F9" s="105" t="inlineStr">
        <is>
          <t>~150 lawyers</t>
        </is>
      </c>
      <c r="G9" s="105" t="inlineStr">
        <is>
          <t>Stockholm, Göteborg; full service</t>
        </is>
      </c>
      <c r="H9" s="105" t="inlineStr">
        <is>
          <t>Joins 5,800-lawyer network; cross-border deal growth</t>
        </is>
      </c>
      <c r="I9" s="105" t="inlineStr">
        <is>
          <t>dagensjuridik.se/nyheter/wistrand-blir-en-del-av-cms-gar-fran-150-jurister-till-5-800-varlden-over/</t>
        </is>
      </c>
    </row>
    <row r="10">
      <c r="A10" s="49" t="inlineStr">
        <is>
          <t>Feb-2024</t>
        </is>
      </c>
      <c r="B10" s="49" t="inlineStr">
        <is>
          <t>Merger</t>
        </is>
      </c>
      <c r="C10" s="49" t="inlineStr">
        <is>
          <t>Carthiel</t>
        </is>
      </c>
      <c r="D10" s="49" t="inlineStr">
        <is>
          <t>Grey Advokatbyrå</t>
        </is>
      </c>
      <c r="E10" s="49" t="inlineStr"/>
      <c r="F10" s="49" t="inlineStr">
        <is>
          <t>~10 staff combined</t>
        </is>
      </c>
      <c r="G10" s="49" t="inlineStr">
        <is>
          <t>Disputes added</t>
        </is>
      </c>
      <c r="H10" s="49" t="inlineStr">
        <is>
          <t>Carthiel grew +155% (FY2024). Firm release only (1-src)</t>
        </is>
      </c>
      <c r="I10" s="49" t="inlineStr">
        <is>
          <t>carthiel.se/post/advokatfirman-carthiel-går-ihop-med-grey-advokatbyrå</t>
        </is>
      </c>
    </row>
    <row r="11">
      <c r="A11" s="106" t="inlineStr">
        <is>
          <t>Feb / Mar-2024</t>
        </is>
      </c>
      <c r="B11" s="106" t="inlineStr">
        <is>
          <t>Split / exit</t>
        </is>
      </c>
      <c r="C11" s="106" t="inlineStr">
        <is>
          <t>Hannes Snellman Sweden (now "Snellman")</t>
        </is>
      </c>
      <c r="D11" s="106" t="inlineStr">
        <is>
          <t>Hannes Snellman group (Finland)</t>
        </is>
      </c>
      <c r="E11" s="106" t="inlineStr"/>
      <c r="F11" s="106" t="inlineStr">
        <is>
          <t>&gt;80 lawyers (Sthlm)</t>
        </is>
      </c>
      <c r="G11" s="106" t="inlineStr">
        <is>
          <t>Stockholm</t>
        </is>
      </c>
      <c r="H11" s="106" t="inlineStr">
        <is>
          <t>Helsinki and Stockholm strategies diverged</t>
        </is>
      </c>
      <c r="I11" s="106" t="inlineStr">
        <is>
          <t>dagensjuridik.se/nyheter/snellmans-nya-mp-stora-strategiska-fragor-for-branschen/</t>
        </is>
      </c>
    </row>
    <row r="12">
      <c r="A12" s="106" t="inlineStr">
        <is>
          <t>Mar-2024</t>
        </is>
      </c>
      <c r="B12" s="106" t="inlineStr">
        <is>
          <t>Split / exit</t>
        </is>
      </c>
      <c r="C12" s="106" t="inlineStr">
        <is>
          <t>(bankruptcy)</t>
        </is>
      </c>
      <c r="D12" s="106" t="inlineStr">
        <is>
          <t>Front Advokater</t>
        </is>
      </c>
      <c r="E12" s="106" t="inlineStr"/>
      <c r="F12" s="106" t="inlineStr"/>
      <c r="G12" s="106" t="inlineStr">
        <is>
          <t>Göteborg</t>
        </is>
      </c>
      <c r="H12" s="106" t="inlineStr">
        <is>
          <t>Bankrupt after losing case vs City of Göteborg. 1-src</t>
        </is>
      </c>
      <c r="I12" s="106" t="inlineStr">
        <is>
          <t>dagensjuridik.se/nyheter/efter-forlusten-i-domstol-front-advokater-i-konkurs/</t>
        </is>
      </c>
    </row>
    <row r="13">
      <c r="A13" s="69" t="inlineStr">
        <is>
          <t>Aug-2025</t>
        </is>
      </c>
      <c r="B13" s="69" t="inlineStr">
        <is>
          <t>PE roll-up (formation)</t>
        </is>
      </c>
      <c r="C13" s="69" t="inlineStr">
        <is>
          <t>AGRD Partners (Axcel)</t>
        </is>
      </c>
      <c r="D13" s="69" t="inlineStr">
        <is>
          <t>Allié, Born, Morris Law, Next, Synch, TM &amp; Partners</t>
        </is>
      </c>
      <c r="E13" s="69" t="inlineStr"/>
      <c r="F13" s="69" t="inlineStr">
        <is>
          <t>~250 staff, 8 offices; ~100-130 advokater left the Bar</t>
        </is>
      </c>
      <c r="G13" s="69" t="inlineStr">
        <is>
          <t>Business law</t>
        </is>
      </c>
      <c r="H13" s="69" t="inlineStr">
        <is>
          <t>Revenue ~SEK 660m (top-10). Firms keep names. CEO Maria-Pia Hope (ex-Vinge)</t>
        </is>
      </c>
      <c r="I13" s="69" t="inlineStr">
        <is>
          <t>realtid.se/juridik/massavhopp-fran-advokatsamfundet-nar-ny-jattebyra-bildas/</t>
        </is>
      </c>
    </row>
    <row r="14">
      <c r="A14" s="105" t="inlineStr">
        <is>
          <t>Oct-2025 / Jan-2026</t>
        </is>
      </c>
      <c r="B14" s="105" t="inlineStr">
        <is>
          <t>Market entry (team lift)</t>
        </is>
      </c>
      <c r="C14" s="105" t="inlineStr">
        <is>
          <t>BAHR (Norway)</t>
        </is>
      </c>
      <c r="D14" s="105" t="inlineStr">
        <is>
          <t>Schjødt (Oslo and Stockholm)</t>
        </is>
      </c>
      <c r="E14" s="105" t="inlineStr">
        <is>
          <t>8 (Sweden); 23 group-wide</t>
        </is>
      </c>
      <c r="F14" s="105" t="inlineStr">
        <is>
          <t>~20 of ~30 Stockholm opening staff; 54 people group-wide</t>
        </is>
      </c>
      <c r="G14" s="105" t="inlineStr">
        <is>
          <t>M&amp;A, banking, capital markets</t>
        </is>
      </c>
      <c r="H14" s="105" t="inlineStr">
        <is>
          <t>Targets 100+ lawyers in Stockholm; ~50 Stockholm staff by Feb-2026</t>
        </is>
      </c>
      <c r="I14" s="105" t="inlineStr">
        <is>
          <t>dagensjuridik.se/nyheter/schjodt-skakas-av-avhopp-atta-i-stockholm-lamnar/</t>
        </is>
      </c>
    </row>
    <row r="15">
      <c r="A15" s="69" t="inlineStr">
        <is>
          <t>Jan-2026</t>
        </is>
      </c>
      <c r="B15" s="69" t="inlineStr">
        <is>
          <t>PE roll-up (add-on)</t>
        </is>
      </c>
      <c r="C15" s="69" t="inlineStr">
        <is>
          <t>AGRD Partners</t>
        </is>
      </c>
      <c r="D15" s="69" t="inlineStr">
        <is>
          <t>Wigge &amp; Partners; Bokwall Rislund</t>
        </is>
      </c>
      <c r="E15" s="69" t="inlineStr"/>
      <c r="F15" s="69" t="inlineStr"/>
      <c r="G15" s="69" t="inlineStr">
        <is>
          <t>Transactions/PE; competition &amp; procurement</t>
        </is>
      </c>
      <c r="H15" s="69" t="inlineStr">
        <is>
          <t>First add-ons; both left the Bar</t>
        </is>
      </c>
      <c r="I15" s="69" t="inlineStr">
        <is>
          <t>dagensjuridik.se/nyheter/agrd-vaxer-tva-nya-byraer-gar-med/</t>
        </is>
      </c>
    </row>
    <row r="16">
      <c r="A16" s="69" t="inlineStr">
        <is>
          <t>May-2026</t>
        </is>
      </c>
      <c r="B16" s="69" t="inlineStr">
        <is>
          <t>PE roll-up (add-on)</t>
        </is>
      </c>
      <c r="C16" s="69" t="inlineStr">
        <is>
          <t>AGRD Partners</t>
        </is>
      </c>
      <c r="D16" s="69" t="inlineStr">
        <is>
          <t>BBA//Fjeldco (Iceland)</t>
        </is>
      </c>
      <c r="E16" s="69" t="inlineStr"/>
      <c r="F16" s="69" t="inlineStr"/>
      <c r="G16" s="69" t="inlineStr">
        <is>
          <t>Iceland</t>
        </is>
      </c>
      <c r="H16" s="69" t="inlineStr">
        <is>
          <t>First non-Swedish investment (context)</t>
        </is>
      </c>
      <c r="I16" s="69" t="inlineStr">
        <is>
          <t>dagensjuridik.se/nyheter/agrd-expanderar-till-island/</t>
        </is>
      </c>
    </row>
    <row r="17">
      <c r="A17" s="69" t="inlineStr">
        <is>
          <t>May-2026</t>
        </is>
      </c>
      <c r="B17" s="69" t="inlineStr">
        <is>
          <t>PE roll-up (add-on)</t>
        </is>
      </c>
      <c r="C17" s="69" t="inlineStr">
        <is>
          <t>AGRD Partners</t>
        </is>
      </c>
      <c r="D17" s="69" t="inlineStr">
        <is>
          <t>Moll Wendén (Malmö)</t>
        </is>
      </c>
      <c r="E17" s="69" t="inlineStr">
        <is>
          <t>8</t>
        </is>
      </c>
      <c r="F17" s="69" t="inlineStr">
        <is>
          <t>~47 staff</t>
        </is>
      </c>
      <c r="G17" s="69" t="inlineStr">
        <is>
          <t>Malmö, 15 practice areas</t>
        </is>
      </c>
      <c r="H17" s="69" t="inlineStr">
        <is>
          <t>First deal in southern Sweden; Öresund strategy</t>
        </is>
      </c>
      <c r="I17" s="69" t="inlineStr">
        <is>
          <t>dagensjuridik.se/nyheter/moll-wenden-gar-in-i-agrd/</t>
        </is>
      </c>
    </row>
    <row r="18">
      <c r="A18" s="106" t="inlineStr">
        <is>
          <t>Aug-2026 / Jan-2027</t>
        </is>
      </c>
      <c r="B18" s="106" t="inlineStr">
        <is>
          <t>Split / exit</t>
        </is>
      </c>
      <c r="C18" s="106" t="inlineStr">
        <is>
          <t>MAQS KB (Malmö, keeps brand) / Keelion Law (Sthlm, Gbg, Sundsvall)</t>
        </is>
      </c>
      <c r="D18" s="106" t="inlineStr">
        <is>
          <t>MAQS</t>
        </is>
      </c>
      <c r="E18" s="106" t="inlineStr"/>
      <c r="F18" s="106" t="inlineStr"/>
      <c r="G18" s="106" t="inlineStr">
        <is>
          <t>Malmö vs northern offices</t>
        </is>
      </c>
      <c r="H18" s="106" t="inlineStr">
        <is>
          <t>Amicable; Malmö plans AI-forward premium firm</t>
        </is>
      </c>
      <c r="I18" s="106" t="inlineStr">
        <is>
          <t>realtid.se/juridik/advokatbyra-delas-malmo-bryter-sig-loss/</t>
        </is>
      </c>
    </row>
    <row r="19">
      <c r="A19" s="69" t="inlineStr">
        <is>
          <t>Aug-2026</t>
        </is>
      </c>
      <c r="B19" s="69" t="inlineStr">
        <is>
          <t>PE roll-up (add-on)</t>
        </is>
      </c>
      <c r="C19" s="69" t="inlineStr">
        <is>
          <t>Synch (AGRD)</t>
        </is>
      </c>
      <c r="D19" s="69" t="inlineStr">
        <is>
          <t>Qap Legal Advisors</t>
        </is>
      </c>
      <c r="E19" s="69" t="inlineStr"/>
      <c r="F19" s="69" t="inlineStr">
        <is>
          <t>All Qap staff</t>
        </is>
      </c>
      <c r="G19" s="69" t="inlineStr">
        <is>
          <t>Stockholm boutique</t>
        </is>
      </c>
      <c r="H19" s="69" t="inlineStr">
        <is>
          <t>Synch "open to more acquisitions". 1-src</t>
        </is>
      </c>
      <c r="I19" s="69" t="inlineStr">
        <is>
          <t>dagensjuridik.se/nyheter/synch-och-qap-legal-gar-ihop/</t>
        </is>
      </c>
    </row>
    <row r="20">
      <c r="A20" s="49" t="inlineStr">
        <is>
          <t>Aug-2026</t>
        </is>
      </c>
      <c r="B20" s="49" t="inlineStr">
        <is>
          <t>Merger</t>
        </is>
      </c>
      <c r="C20" s="49" t="inlineStr">
        <is>
          <t>MAQS Malmö</t>
        </is>
      </c>
      <c r="D20" s="49" t="inlineStr">
        <is>
          <t>Fredersen Advokatbyrå</t>
        </is>
      </c>
      <c r="E20" s="49" t="inlineStr"/>
      <c r="F20" s="49" t="inlineStr"/>
      <c r="G20" s="49" t="inlineStr">
        <is>
          <t>Malmö</t>
        </is>
      </c>
      <c r="H20" s="49" t="inlineStr">
        <is>
          <t>Ahead of MAQS separation. 1-src</t>
        </is>
      </c>
      <c r="I20" s="49" t="inlineStr">
        <is>
          <t>dagensjuridik.se/nyheter/fredersen-gar-ihop-med-maqs-i-malmo/</t>
        </is>
      </c>
    </row>
    <row r="21">
      <c r="A21" s="69" t="inlineStr">
        <is>
          <t>Sep-2026</t>
        </is>
      </c>
      <c r="B21" s="69" t="inlineStr">
        <is>
          <t>PE roll-up (add-on)</t>
        </is>
      </c>
      <c r="C21" s="69" t="inlineStr">
        <is>
          <t>AGRD Partners (as Ascente Law)</t>
        </is>
      </c>
      <c r="D21" s="69" t="inlineStr">
        <is>
          <t>Setterwalls Malmö office</t>
        </is>
      </c>
      <c r="E21" s="69" t="inlineStr">
        <is>
          <t>12</t>
        </is>
      </c>
      <c r="F21" s="69" t="inlineStr">
        <is>
          <t>~100 people</t>
        </is>
      </c>
      <c r="G21" s="69" t="inlineStr">
        <is>
          <t>Malmö; corporate, energy, patent litigation</t>
        </is>
      </c>
      <c r="H21" s="69" t="inlineStr">
        <is>
          <t>AGRD's largest deal; office leaves the Bar (~SEK 305m revenue in 2025)</t>
        </is>
      </c>
      <c r="I21" s="69" t="inlineStr">
        <is>
          <t>realtid.se/juridik/setterwalls-malmokontor-gar-till-riskkapitalagda-agrd/</t>
        </is>
      </c>
    </row>
    <row r="22">
      <c r="A22" s="49" t="inlineStr">
        <is>
          <t>Sep / Oct-2026</t>
        </is>
      </c>
      <c r="B22" s="49" t="inlineStr">
        <is>
          <t>Merger</t>
        </is>
      </c>
      <c r="C22" s="49" t="inlineStr">
        <is>
          <t>Magnusson</t>
        </is>
      </c>
      <c r="D22" s="49" t="inlineStr">
        <is>
          <t>Gro Advokatbyrå</t>
        </is>
      </c>
      <c r="E22" s="49" t="inlineStr"/>
      <c r="F22" s="49" t="inlineStr">
        <is>
          <t>&lt;10 staff, ~SEK 20m revenue</t>
        </is>
      </c>
      <c r="G22" s="49" t="inlineStr">
        <is>
          <t>VC, tech, data protection; Stockholm</t>
        </is>
      </c>
      <c r="H22" s="49" t="inlineStr">
        <is>
          <t>Positioned as a commitment to the advokat model (vs AGRD)</t>
        </is>
      </c>
      <c r="I22" s="49" t="inlineStr">
        <is>
          <t>realtid.se/juridik/byraer-gar-samman-fortsatter-satsa-pa-advokatmodellen/</t>
        </is>
      </c>
    </row>
    <row r="23">
      <c r="A23" s="49" t="inlineStr">
        <is>
          <t>Oct-2026 / Jan-2027</t>
        </is>
      </c>
      <c r="B23" s="49" t="inlineStr">
        <is>
          <t>Merger</t>
        </is>
      </c>
      <c r="C23" s="49" t="inlineStr">
        <is>
          <t>Walthon Ramberg</t>
        </is>
      </c>
      <c r="D23" s="49" t="inlineStr">
        <is>
          <t>Walthon Advokater + Ramberg Advokater</t>
        </is>
      </c>
      <c r="E23" s="49" t="inlineStr"/>
      <c r="F23" s="49" t="inlineStr">
        <is>
          <t>~40 lawyers</t>
        </is>
      </c>
      <c r="G23" s="49" t="inlineStr">
        <is>
          <t>Transactions, disputes, insolvency; Stockholm</t>
        </is>
      </c>
      <c r="H23" s="49" t="inlineStr">
        <is>
          <t>1-src outlet</t>
        </is>
      </c>
      <c r="I23" s="49" t="inlineStr">
        <is>
          <t>dagensjuridik.se/nyheter/walthon-och-ramberg-gar-ihop-samlar-40-jurister/</t>
        </is>
      </c>
    </row>
    <row r="24">
      <c r="A24" s="45" t="inlineStr">
        <is>
          <t>Colour: yellow = PE roll-up; blue = market entry; orange = split / exit. Context: Schjødt merged with Norrbom Vinding (Denmark, Jan-2026); Advokatsamfundet reviewing its ownership rules after AGRD.</t>
        </is>
      </c>
    </row>
    <row r="26">
      <c r="A26" s="47" t="inlineStr">
        <is>
          <t>F2. Team lifts (2+ partners or 5+ lawyers)</t>
        </is>
      </c>
    </row>
    <row r="27">
      <c r="A27" s="52" t="inlineStr">
        <is>
          <t>Date</t>
        </is>
      </c>
      <c r="B27" s="52" t="inlineStr">
        <is>
          <t>Hiring firm</t>
        </is>
      </c>
      <c r="C27" s="52" t="inlineStr">
        <is>
          <t>Source firm</t>
        </is>
      </c>
      <c r="D27" s="52" t="inlineStr">
        <is>
          <t>Partners</t>
        </is>
      </c>
      <c r="E27" s="52" t="inlineStr">
        <is>
          <t>Other lawyers / staff</t>
        </is>
      </c>
      <c r="F27" s="52" t="inlineStr">
        <is>
          <t>Practice</t>
        </is>
      </c>
      <c r="G27" s="52" t="inlineStr">
        <is>
          <t>Partner names</t>
        </is>
      </c>
      <c r="H27" s="52" t="inlineStr">
        <is>
          <t>Confidence</t>
        </is>
      </c>
      <c r="I27" s="52" t="inlineStr">
        <is>
          <t>Source</t>
        </is>
      </c>
    </row>
    <row r="28">
      <c r="A28" s="49" t="inlineStr">
        <is>
          <t>Feb-2020</t>
        </is>
      </c>
      <c r="B28" s="49" t="inlineStr">
        <is>
          <t>Lindahl (new Stockholm office)</t>
        </is>
      </c>
      <c r="C28" s="49" t="inlineStr">
        <is>
          <t>Westermark Anjou</t>
        </is>
      </c>
      <c r="D28" s="49" t="n">
        <v>2</v>
      </c>
      <c r="E28" s="49" t="n">
        <v>2</v>
      </c>
      <c r="F28" s="49" t="inlineStr">
        <is>
          <t>Capital markets / public M&amp;A</t>
        </is>
      </c>
      <c r="G28" s="49" t="inlineStr">
        <is>
          <t>Monica Lagercrantz, Dennis Westermark</t>
        </is>
      </c>
      <c r="H28" s="49" t="inlineStr">
        <is>
          <t>Medium (firm release)</t>
        </is>
      </c>
      <c r="I28" s="49" t="inlineStr">
        <is>
          <t>dagensjuridik.se/pressrum/lindahl/advokatfirman-lindahl-vaxer-i-stockholm-tva-nya-delagare-och-tva-jurister-2/</t>
        </is>
      </c>
    </row>
    <row r="29">
      <c r="A29" s="49" t="inlineStr">
        <is>
          <t>Jan-Mar-2020</t>
        </is>
      </c>
      <c r="B29" s="49" t="inlineStr">
        <is>
          <t>Fylgia</t>
        </is>
      </c>
      <c r="C29" s="49" t="inlineStr">
        <is>
          <t>Setterwalls</t>
        </is>
      </c>
      <c r="D29" s="49" t="inlineStr">
        <is>
          <t>1+</t>
        </is>
      </c>
      <c r="E29" s="49" t="n">
        <v>3</v>
      </c>
      <c r="F29" s="49" t="inlineStr">
        <is>
          <t>Insolvency / restructuring</t>
        </is>
      </c>
      <c r="G29" s="49" t="inlineStr">
        <is>
          <t>Mathias Winge (+3, titles unstated)</t>
        </is>
      </c>
      <c r="H29" s="49" t="inlineStr">
        <is>
          <t>Medium (1-src; borderline)</t>
        </is>
      </c>
      <c r="I29" s="49" t="inlineStr">
        <is>
          <t>realtid.se/bors-finans/fylgia-tar-over-obestandsavdelningen-fran-setterwalls/</t>
        </is>
      </c>
    </row>
    <row r="30">
      <c r="A30" s="49" t="inlineStr">
        <is>
          <t>Jan-2024</t>
        </is>
      </c>
      <c r="B30" s="49" t="inlineStr">
        <is>
          <t>MAQS</t>
        </is>
      </c>
      <c r="C30" s="49" t="inlineStr">
        <is>
          <t>Delphi</t>
        </is>
      </c>
      <c r="D30" s="49" t="n">
        <v>3</v>
      </c>
      <c r="E30" s="49" t="inlineStr"/>
      <c r="F30" s="49" t="inlineStr">
        <is>
          <t>M&amp;A</t>
        </is>
      </c>
      <c r="G30" s="49" t="inlineStr">
        <is>
          <t>Anders Lindström, Per Lagerkvist, Fredrik Mörner</t>
        </is>
      </c>
      <c r="H30" s="49" t="inlineStr">
        <is>
          <t>Medium (1-src)</t>
        </is>
      </c>
      <c r="I30" s="49" t="inlineStr">
        <is>
          <t>realtid.se/juridik/tre-nya-delagare-inom-ma-ansluter-till-maqs/</t>
        </is>
      </c>
    </row>
    <row r="31">
      <c r="A31" s="49" t="inlineStr">
        <is>
          <t>Apr-2024</t>
        </is>
      </c>
      <c r="B31" s="49" t="inlineStr">
        <is>
          <t>RE:FI STHLM (new boutique)</t>
        </is>
      </c>
      <c r="C31" s="49" t="inlineStr">
        <is>
          <t>Cederquist</t>
        </is>
      </c>
      <c r="D31" s="49" t="inlineStr">
        <is>
          <t>1+ (4 partners at new firm)</t>
        </is>
      </c>
      <c r="E31" s="49" t="inlineStr">
        <is>
          <t>3</t>
        </is>
      </c>
      <c r="F31" s="49" t="inlineStr">
        <is>
          <t>Banking / finance / restructuring</t>
        </is>
      </c>
      <c r="G31" s="49" t="inlineStr">
        <is>
          <t>Johan Lundberg (ex-MP)</t>
        </is>
      </c>
      <c r="H31" s="49" t="inlineStr">
        <is>
          <t>Medium</t>
        </is>
      </c>
      <c r="I31" s="49" t="inlineStr">
        <is>
          <t>dagensjuridik.se/nyheter/finansieringsexpert-pa-cederquist-lanserar-egen-specialistbyra/</t>
        </is>
      </c>
    </row>
    <row r="32">
      <c r="A32" s="49" t="inlineStr">
        <is>
          <t>Jun-2024</t>
        </is>
      </c>
      <c r="B32" s="49" t="inlineStr">
        <is>
          <t>Gernandt &amp; Danielsson</t>
        </is>
      </c>
      <c r="C32" s="49" t="inlineStr">
        <is>
          <t>Linklaters Stockholm</t>
        </is>
      </c>
      <c r="D32" s="49" t="n">
        <v>2</v>
      </c>
      <c r="E32" s="49" t="n">
        <v>5</v>
      </c>
      <c r="F32" s="49" t="inlineStr">
        <is>
          <t>Real estate transactions</t>
        </is>
      </c>
      <c r="G32" s="49" t="inlineStr">
        <is>
          <t>Magnus Lidman, Anna Eriksson</t>
        </is>
      </c>
      <c r="H32" s="49" t="inlineStr">
        <is>
          <t>High</t>
        </is>
      </c>
      <c r="I32" s="49" t="inlineStr">
        <is>
          <t>mynewsdesk.com/se/gernandtdanielsson</t>
        </is>
      </c>
    </row>
    <row r="33">
      <c r="A33" s="49" t="inlineStr">
        <is>
          <t>Jan-2025</t>
        </is>
      </c>
      <c r="B33" s="49" t="inlineStr">
        <is>
          <t>Cirio</t>
        </is>
      </c>
      <c r="C33" s="49" t="inlineStr">
        <is>
          <t>AG Advokat</t>
        </is>
      </c>
      <c r="D33" s="49" t="n">
        <v>3</v>
      </c>
      <c r="E33" s="49" t="n">
        <v>9</v>
      </c>
      <c r="F33" s="49" t="inlineStr">
        <is>
          <t>Real estate / construction disputes</t>
        </is>
      </c>
      <c r="G33" s="49" t="inlineStr">
        <is>
          <t>Johan Lindberg, Johan Rosén, Måns Derk</t>
        </is>
      </c>
      <c r="H33" s="49" t="inlineStr">
        <is>
          <t>High</t>
        </is>
      </c>
      <c r="I33" s="49" t="inlineStr">
        <is>
          <t>realtid.se/juridik/cirio-expanderar-inom-fastighets-och-entreprenadjuridik/</t>
        </is>
      </c>
    </row>
    <row r="34">
      <c r="A34" s="49" t="inlineStr">
        <is>
          <t>Oct-2025 / Feb-2026</t>
        </is>
      </c>
      <c r="B34" s="49" t="inlineStr">
        <is>
          <t>BAHR (new Stockholm office)</t>
        </is>
      </c>
      <c r="C34" s="49" t="inlineStr">
        <is>
          <t>Schjødt Sweden</t>
        </is>
      </c>
      <c r="D34" s="49" t="n">
        <v>8</v>
      </c>
      <c r="E34" s="49" t="inlineStr">
        <is>
          <t>~12</t>
        </is>
      </c>
      <c r="F34" s="49" t="inlineStr">
        <is>
          <t>M&amp;A, banking, capital markets</t>
        </is>
      </c>
      <c r="G34" s="49" t="inlineStr">
        <is>
          <t>Ola Hansson, Eric Halvarsson, Emil Hedberg, Peter Svanqvist, Kristoffer Stråth, Frida Lantoft, Karl Klackenberg, Tom Wehtje</t>
        </is>
      </c>
      <c r="H34" s="49" t="inlineStr">
        <is>
          <t>High (count); medium (names)</t>
        </is>
      </c>
      <c r="I34" s="49" t="inlineStr">
        <is>
          <t>dagensjuridik.se/nyheter/schjodt-skakas-av-avhopp-atta-i-stockholm-lamnar/</t>
        </is>
      </c>
    </row>
    <row r="35">
      <c r="A35" s="49" t="inlineStr">
        <is>
          <t>Sep-2026</t>
        </is>
      </c>
      <c r="B35" s="49" t="inlineStr">
        <is>
          <t>Ascente Law (AGRD)</t>
        </is>
      </c>
      <c r="C35" s="49" t="inlineStr">
        <is>
          <t>Setterwalls Malmö</t>
        </is>
      </c>
      <c r="D35" s="49" t="n">
        <v>12</v>
      </c>
      <c r="E35" s="49" t="inlineStr">
        <is>
          <t>~88</t>
        </is>
      </c>
      <c r="F35" s="49" t="inlineStr">
        <is>
          <t>Full service</t>
        </is>
      </c>
      <c r="G35" s="49" t="inlineStr">
        <is>
          <t>Marc Tullgren (MP); others not named</t>
        </is>
      </c>
      <c r="H35" s="49" t="inlineStr">
        <is>
          <t>High (event)</t>
        </is>
      </c>
      <c r="I35" s="49" t="inlineStr">
        <is>
          <t>realtid.se/juridik/setterwalls-malmokontor-gar-till-riskkapitalagda-agrd/</t>
        </is>
      </c>
    </row>
    <row r="36">
      <c r="A36" s="45" t="inlineStr">
        <is>
          <t>Below threshold: AG Advokat -&gt; MAQS (Elin Schedin + 1, Jan-2025); Lindahl -&gt; Foyen (Jan Berg + 3, Dec-2025).</t>
        </is>
      </c>
    </row>
    <row r="38">
      <c r="A38" s="47" t="inlineStr">
        <is>
          <t>F3. Notable single partner moves at top firms</t>
        </is>
      </c>
    </row>
    <row r="39">
      <c r="A39" s="52" t="inlineStr">
        <is>
          <t>Date</t>
        </is>
      </c>
      <c r="B39" s="52" t="inlineStr">
        <is>
          <t>Hiring firm</t>
        </is>
      </c>
      <c r="C39" s="52" t="inlineStr">
        <is>
          <t>Source firm</t>
        </is>
      </c>
      <c r="D39" s="52" t="inlineStr">
        <is>
          <t>Partner</t>
        </is>
      </c>
      <c r="E39" s="52" t="inlineStr">
        <is>
          <t>Practice</t>
        </is>
      </c>
    </row>
    <row r="40">
      <c r="A40" s="49" t="inlineStr">
        <is>
          <t>Jun-2020</t>
        </is>
      </c>
      <c r="B40" s="49" t="inlineStr">
        <is>
          <t>Hannes Snellman</t>
        </is>
      </c>
      <c r="C40" s="49" t="inlineStr">
        <is>
          <t>Roschier</t>
        </is>
      </c>
      <c r="D40" s="49" t="inlineStr">
        <is>
          <t>Ola Åhman</t>
        </is>
      </c>
      <c r="E40" s="49" t="inlineStr">
        <is>
          <t>ECM / public M&amp;A</t>
        </is>
      </c>
    </row>
    <row r="41">
      <c r="A41" s="49" t="inlineStr">
        <is>
          <t>Apr-2021</t>
        </is>
      </c>
      <c r="B41" s="49" t="inlineStr">
        <is>
          <t>Bird &amp; Bird</t>
        </is>
      </c>
      <c r="C41" s="49" t="inlineStr">
        <is>
          <t>MAQS</t>
        </is>
      </c>
      <c r="D41" s="49" t="inlineStr">
        <is>
          <t>Olof Wetterling</t>
        </is>
      </c>
      <c r="E41" s="49" t="inlineStr">
        <is>
          <t>Finance</t>
        </is>
      </c>
    </row>
    <row r="42">
      <c r="A42" s="49" t="inlineStr">
        <is>
          <t>Mar-2023</t>
        </is>
      </c>
      <c r="B42" s="49" t="inlineStr">
        <is>
          <t>Skierfe</t>
        </is>
      </c>
      <c r="C42" s="49" t="inlineStr">
        <is>
          <t>Cederquist</t>
        </is>
      </c>
      <c r="D42" s="49" t="inlineStr">
        <is>
          <t>Christian Johard</t>
        </is>
      </c>
      <c r="E42" s="49" t="inlineStr">
        <is>
          <t>Real estate</t>
        </is>
      </c>
    </row>
    <row r="43">
      <c r="A43" s="49" t="inlineStr">
        <is>
          <t>May-2023</t>
        </is>
      </c>
      <c r="B43" s="49" t="inlineStr">
        <is>
          <t>Lindahl</t>
        </is>
      </c>
      <c r="C43" s="49" t="inlineStr">
        <is>
          <t>Bird &amp; Bird</t>
        </is>
      </c>
      <c r="D43" s="49" t="inlineStr">
        <is>
          <t>Jan Byström</t>
        </is>
      </c>
      <c r="E43" s="49" t="inlineStr">
        <is>
          <t>M&amp;A</t>
        </is>
      </c>
    </row>
    <row r="44">
      <c r="A44" s="49" t="inlineStr">
        <is>
          <t>Aug-2024</t>
        </is>
      </c>
      <c r="B44" s="49" t="inlineStr">
        <is>
          <t>Schjødt</t>
        </is>
      </c>
      <c r="C44" s="49" t="inlineStr">
        <is>
          <t>Mannheimer Swartling</t>
        </is>
      </c>
      <c r="D44" s="49" t="inlineStr">
        <is>
          <t>Tom Wehtje</t>
        </is>
      </c>
      <c r="E44" s="49" t="inlineStr">
        <is>
          <t>M&amp;A (later to BAHR)</t>
        </is>
      </c>
    </row>
    <row r="45">
      <c r="A45" s="49" t="inlineStr">
        <is>
          <t>Sep-2024</t>
        </is>
      </c>
      <c r="B45" s="49" t="inlineStr">
        <is>
          <t>Linklaters</t>
        </is>
      </c>
      <c r="C45" s="49" t="inlineStr">
        <is>
          <t>White &amp; Case</t>
        </is>
      </c>
      <c r="D45" s="49" t="inlineStr">
        <is>
          <t>Magnus Wennerhorn</t>
        </is>
      </c>
      <c r="E45" s="49" t="inlineStr">
        <is>
          <t>Banking / finance</t>
        </is>
      </c>
    </row>
    <row r="46">
      <c r="A46" s="49" t="inlineStr">
        <is>
          <t>Dec-2024</t>
        </is>
      </c>
      <c r="B46" s="49" t="inlineStr">
        <is>
          <t>DLA Piper</t>
        </is>
      </c>
      <c r="C46" s="49" t="inlineStr">
        <is>
          <t>Snellman</t>
        </is>
      </c>
      <c r="D46" s="49" t="inlineStr">
        <is>
          <t>Joel Montin</t>
        </is>
      </c>
      <c r="E46" s="49" t="inlineStr">
        <is>
          <t>Financial regulation</t>
        </is>
      </c>
    </row>
    <row r="47">
      <c r="A47" s="49" t="inlineStr">
        <is>
          <t>Dec-2024</t>
        </is>
      </c>
      <c r="B47" s="49" t="inlineStr">
        <is>
          <t>Hammarskiöld</t>
        </is>
      </c>
      <c r="C47" s="49" t="inlineStr">
        <is>
          <t>Snellman</t>
        </is>
      </c>
      <c r="D47" s="49" t="inlineStr">
        <is>
          <t>Ola Åhman</t>
        </is>
      </c>
      <c r="E47" s="49" t="inlineStr">
        <is>
          <t>Corporate / M&amp;A</t>
        </is>
      </c>
    </row>
    <row r="48">
      <c r="A48" s="49" t="inlineStr">
        <is>
          <t>Mar-2025</t>
        </is>
      </c>
      <c r="B48" s="49" t="inlineStr">
        <is>
          <t>DLA Piper</t>
        </is>
      </c>
      <c r="C48" s="49" t="inlineStr">
        <is>
          <t>Hammarskiöld</t>
        </is>
      </c>
      <c r="D48" s="49" t="inlineStr">
        <is>
          <t>Carl-Johan Pousette</t>
        </is>
      </c>
      <c r="E48" s="49" t="inlineStr">
        <is>
          <t>Capital markets</t>
        </is>
      </c>
    </row>
    <row r="49">
      <c r="A49" s="49" t="inlineStr">
        <is>
          <t>Mar-2025</t>
        </is>
      </c>
      <c r="B49" s="49" t="inlineStr">
        <is>
          <t>Bird &amp; Bird</t>
        </is>
      </c>
      <c r="C49" s="49" t="inlineStr">
        <is>
          <t>Lindahl</t>
        </is>
      </c>
      <c r="D49" s="49" t="inlineStr">
        <is>
          <t>Henrik Nobel</t>
        </is>
      </c>
      <c r="E49" s="49" t="inlineStr">
        <is>
          <t>M&amp;A</t>
        </is>
      </c>
    </row>
    <row r="50">
      <c r="A50" s="49" t="inlineStr">
        <is>
          <t>Mar-2025</t>
        </is>
      </c>
      <c r="B50" s="49" t="inlineStr">
        <is>
          <t>Bird &amp; Bird</t>
        </is>
      </c>
      <c r="C50" s="49" t="inlineStr">
        <is>
          <t>Westerberg &amp; Partners</t>
        </is>
      </c>
      <c r="D50" s="49" t="inlineStr">
        <is>
          <t>Wendela Hårdemark</t>
        </is>
      </c>
      <c r="E50" s="49" t="inlineStr">
        <is>
          <t>IP / patent litigation</t>
        </is>
      </c>
    </row>
    <row r="51">
      <c r="A51" s="49" t="inlineStr">
        <is>
          <t>May-2025</t>
        </is>
      </c>
      <c r="B51" s="49" t="inlineStr">
        <is>
          <t>Gernandt &amp; Danielsson</t>
        </is>
      </c>
      <c r="C51" s="49" t="inlineStr">
        <is>
          <t>Snellman</t>
        </is>
      </c>
      <c r="D51" s="49" t="inlineStr">
        <is>
          <t>Peter Forsberg</t>
        </is>
      </c>
      <c r="E51" s="49" t="inlineStr">
        <is>
          <t>Competition</t>
        </is>
      </c>
    </row>
    <row r="52">
      <c r="A52" s="49" t="inlineStr">
        <is>
          <t>Jun-2025 / Feb-2026</t>
        </is>
      </c>
      <c r="B52" s="49" t="inlineStr">
        <is>
          <t>Schjødt then BAHR</t>
        </is>
      </c>
      <c r="C52" s="49" t="inlineStr">
        <is>
          <t>Roschier then Schjødt</t>
        </is>
      </c>
      <c r="D52" s="49" t="inlineStr">
        <is>
          <t>Peder Boström</t>
        </is>
      </c>
      <c r="E52" s="49" t="inlineStr">
        <is>
          <t>Employment</t>
        </is>
      </c>
    </row>
    <row r="53">
      <c r="A53" s="49" t="inlineStr">
        <is>
          <t>Oct-2025</t>
        </is>
      </c>
      <c r="B53" s="49" t="inlineStr">
        <is>
          <t>BAHR</t>
        </is>
      </c>
      <c r="C53" s="49" t="inlineStr">
        <is>
          <t>Snellman</t>
        </is>
      </c>
      <c r="D53" s="49" t="inlineStr">
        <is>
          <t>Johanna Wärnberg</t>
        </is>
      </c>
      <c r="E53" s="49" t="inlineStr">
        <is>
          <t>M&amp;A</t>
        </is>
      </c>
    </row>
    <row r="54">
      <c r="A54" s="49" t="inlineStr">
        <is>
          <t>Nov-2025</t>
        </is>
      </c>
      <c r="B54" s="49" t="inlineStr">
        <is>
          <t>MAQS</t>
        </is>
      </c>
      <c r="C54" s="49" t="inlineStr">
        <is>
          <t>Baker McKenzie</t>
        </is>
      </c>
      <c r="D54" s="49" t="inlineStr">
        <is>
          <t>Markus Mueller</t>
        </is>
      </c>
      <c r="E54" s="49" t="inlineStr">
        <is>
          <t>Banking / finance</t>
        </is>
      </c>
    </row>
    <row r="55">
      <c r="A55" s="49" t="inlineStr">
        <is>
          <t>Jan-2026</t>
        </is>
      </c>
      <c r="B55" s="49" t="inlineStr">
        <is>
          <t>Lindahl</t>
        </is>
      </c>
      <c r="C55" s="49" t="inlineStr">
        <is>
          <t>Vinge</t>
        </is>
      </c>
      <c r="D55" s="49" t="inlineStr">
        <is>
          <t>Henrik Schön</t>
        </is>
      </c>
      <c r="E55" s="49" t="inlineStr">
        <is>
          <t>Financial services</t>
        </is>
      </c>
    </row>
    <row r="56">
      <c r="A56" s="49" t="inlineStr">
        <is>
          <t>2026</t>
        </is>
      </c>
      <c r="B56" s="49" t="inlineStr">
        <is>
          <t>MAQS</t>
        </is>
      </c>
      <c r="C56" s="49" t="inlineStr">
        <is>
          <t>Delphi</t>
        </is>
      </c>
      <c r="D56" s="49" t="inlineStr">
        <is>
          <t>Karin Roberts</t>
        </is>
      </c>
      <c r="E56" s="49" t="inlineStr">
        <is>
          <t>Defence / security</t>
        </is>
      </c>
    </row>
    <row r="57">
      <c r="A57" s="49" t="inlineStr">
        <is>
          <t>Apr-2026</t>
        </is>
      </c>
      <c r="B57" s="49" t="inlineStr">
        <is>
          <t>Schjødt</t>
        </is>
      </c>
      <c r="C57" s="49" t="inlineStr">
        <is>
          <t>(ex-Linklaters)</t>
        </is>
      </c>
      <c r="D57" s="49" t="inlineStr">
        <is>
          <t>Patrik Björklund</t>
        </is>
      </c>
      <c r="E57" s="49" t="inlineStr">
        <is>
          <t>Banking / finance</t>
        </is>
      </c>
    </row>
    <row r="58">
      <c r="A58" s="49" t="inlineStr">
        <is>
          <t>Jul-2026</t>
        </is>
      </c>
      <c r="B58" s="49" t="inlineStr">
        <is>
          <t>DLA Piper</t>
        </is>
      </c>
      <c r="C58" s="49" t="inlineStr">
        <is>
          <t>Baker McKenzie</t>
        </is>
      </c>
      <c r="D58" s="49" t="inlineStr">
        <is>
          <t>Olof Forssell</t>
        </is>
      </c>
      <c r="E58" s="49" t="inlineStr">
        <is>
          <t>Trade / sanctions</t>
        </is>
      </c>
    </row>
    <row r="59">
      <c r="A59" s="49" t="inlineStr">
        <is>
          <t>2026</t>
        </is>
      </c>
      <c r="B59" s="49" t="inlineStr">
        <is>
          <t>Gernandt &amp; Danielsson</t>
        </is>
      </c>
      <c r="C59" s="49" t="inlineStr">
        <is>
          <t>Snellman</t>
        </is>
      </c>
      <c r="D59" s="49" t="inlineStr">
        <is>
          <t>Pontus Ewerlöf</t>
        </is>
      </c>
      <c r="E59" s="49" t="inlineStr">
        <is>
          <t>Disputes</t>
        </is>
      </c>
    </row>
    <row r="61">
      <c r="A61" s="47" t="inlineStr">
        <is>
          <t>F4. Net partner flow 2020 - Oct 2026 (named partners in F2-F3 plus Legal 500 departures)</t>
        </is>
      </c>
    </row>
    <row r="62">
      <c r="A62" s="99" t="inlineStr">
        <is>
          <t>Firm</t>
        </is>
      </c>
      <c r="B62" s="99" t="inlineStr">
        <is>
          <t>Partner gains</t>
        </is>
      </c>
      <c r="C62" s="99" t="inlineStr">
        <is>
          <t>Partner losses</t>
        </is>
      </c>
      <c r="D62" s="99" t="inlineStr">
        <is>
          <t>Net</t>
        </is>
      </c>
    </row>
    <row r="63">
      <c r="A63" s="49" t="inlineStr">
        <is>
          <t>BAHR</t>
        </is>
      </c>
      <c r="B63" s="90" t="n">
        <v>10</v>
      </c>
      <c r="C63" s="90" t="n">
        <v>0</v>
      </c>
      <c r="D63" s="107">
        <f>B63-C63</f>
        <v/>
      </c>
    </row>
    <row r="64">
      <c r="A64" s="49" t="inlineStr">
        <is>
          <t>MAQS</t>
        </is>
      </c>
      <c r="B64" s="90" t="n">
        <v>6</v>
      </c>
      <c r="C64" s="90" t="n">
        <v>1</v>
      </c>
      <c r="D64" s="107">
        <f>B64-C64</f>
        <v/>
      </c>
    </row>
    <row r="65">
      <c r="A65" s="49" t="inlineStr">
        <is>
          <t>Lindahl</t>
        </is>
      </c>
      <c r="B65" s="90" t="n">
        <v>4</v>
      </c>
      <c r="C65" s="90" t="n">
        <v>2</v>
      </c>
      <c r="D65" s="107">
        <f>B65-C65</f>
        <v/>
      </c>
    </row>
    <row r="66">
      <c r="A66" s="49" t="inlineStr">
        <is>
          <t>Gernandt &amp; Danielsson</t>
        </is>
      </c>
      <c r="B66" s="90" t="n">
        <v>4</v>
      </c>
      <c r="C66" s="90" t="n">
        <v>2</v>
      </c>
      <c r="D66" s="107">
        <f>B66-C66</f>
        <v/>
      </c>
    </row>
    <row r="67">
      <c r="A67" s="49" t="inlineStr">
        <is>
          <t>Cirio</t>
        </is>
      </c>
      <c r="B67" s="90" t="n">
        <v>3</v>
      </c>
      <c r="C67" s="90" t="n">
        <v>1</v>
      </c>
      <c r="D67" s="107">
        <f>B67-C67</f>
        <v/>
      </c>
    </row>
    <row r="68">
      <c r="A68" s="49" t="inlineStr">
        <is>
          <t>Bird &amp; Bird</t>
        </is>
      </c>
      <c r="B68" s="90" t="n">
        <v>3</v>
      </c>
      <c r="C68" s="90" t="n">
        <v>2</v>
      </c>
      <c r="D68" s="107">
        <f>B68-C68</f>
        <v/>
      </c>
    </row>
    <row r="69">
      <c r="A69" s="49" t="inlineStr">
        <is>
          <t>DLA Piper</t>
        </is>
      </c>
      <c r="B69" s="90" t="n">
        <v>3</v>
      </c>
      <c r="C69" s="90" t="n">
        <v>2</v>
      </c>
      <c r="D69" s="107">
        <f>B69-C69</f>
        <v/>
      </c>
    </row>
    <row r="70">
      <c r="A70" s="49" t="inlineStr">
        <is>
          <t>Hammarskiöld</t>
        </is>
      </c>
      <c r="B70" s="90" t="n">
        <v>1</v>
      </c>
      <c r="C70" s="90" t="n">
        <v>1</v>
      </c>
      <c r="D70" s="107">
        <f>B70-C70</f>
        <v/>
      </c>
    </row>
    <row r="71">
      <c r="A71" s="49" t="inlineStr">
        <is>
          <t>Linklaters</t>
        </is>
      </c>
      <c r="B71" s="90" t="n">
        <v>1</v>
      </c>
      <c r="C71" s="90" t="n">
        <v>2</v>
      </c>
      <c r="D71" s="107">
        <f>B71-C71</f>
        <v/>
      </c>
    </row>
    <row r="72">
      <c r="A72" s="49" t="inlineStr">
        <is>
          <t>Mannheimer Swartling</t>
        </is>
      </c>
      <c r="B72" s="90" t="n">
        <v>0</v>
      </c>
      <c r="C72" s="90" t="n">
        <v>2</v>
      </c>
      <c r="D72" s="107">
        <f>B72-C72</f>
        <v/>
      </c>
    </row>
    <row r="73">
      <c r="A73" s="49" t="inlineStr">
        <is>
          <t>Baker McKenzie</t>
        </is>
      </c>
      <c r="B73" s="90" t="n">
        <v>0</v>
      </c>
      <c r="C73" s="90" t="n">
        <v>2</v>
      </c>
      <c r="D73" s="107">
        <f>B73-C73</f>
        <v/>
      </c>
    </row>
    <row r="74">
      <c r="A74" s="49" t="inlineStr">
        <is>
          <t>Roschier</t>
        </is>
      </c>
      <c r="B74" s="90" t="n">
        <v>0</v>
      </c>
      <c r="C74" s="90" t="n">
        <v>3</v>
      </c>
      <c r="D74" s="107">
        <f>B74-C74</f>
        <v/>
      </c>
    </row>
    <row r="75">
      <c r="A75" s="49" t="inlineStr">
        <is>
          <t>Cederquist</t>
        </is>
      </c>
      <c r="B75" s="90" t="n">
        <v>0</v>
      </c>
      <c r="C75" s="90" t="n">
        <v>3</v>
      </c>
      <c r="D75" s="107">
        <f>B75-C75</f>
        <v/>
      </c>
    </row>
    <row r="76">
      <c r="A76" s="49" t="inlineStr">
        <is>
          <t>Snellman</t>
        </is>
      </c>
      <c r="B76" s="90" t="n">
        <v>1</v>
      </c>
      <c r="C76" s="90" t="n">
        <v>5</v>
      </c>
      <c r="D76" s="107">
        <f>B76-C76</f>
        <v/>
      </c>
    </row>
    <row r="77">
      <c r="A77" s="49" t="inlineStr">
        <is>
          <t>Delphi</t>
        </is>
      </c>
      <c r="B77" s="90" t="n">
        <v>0</v>
      </c>
      <c r="C77" s="90" t="n">
        <v>4</v>
      </c>
      <c r="D77" s="107">
        <f>B77-C77</f>
        <v/>
      </c>
    </row>
    <row r="78">
      <c r="A78" s="49" t="inlineStr">
        <is>
          <t>AG Advokat</t>
        </is>
      </c>
      <c r="B78" s="90" t="n">
        <v>0</v>
      </c>
      <c r="C78" s="90" t="n">
        <v>4</v>
      </c>
      <c r="D78" s="107">
        <f>B78-C78</f>
        <v/>
      </c>
    </row>
    <row r="79">
      <c r="A79" s="49" t="inlineStr">
        <is>
          <t>Schjødt</t>
        </is>
      </c>
      <c r="B79" s="90" t="n">
        <v>2</v>
      </c>
      <c r="C79" s="90" t="n">
        <v>9</v>
      </c>
      <c r="D79" s="107">
        <f>B79-C79</f>
        <v/>
      </c>
    </row>
    <row r="80">
      <c r="A80" s="49" t="inlineStr">
        <is>
          <t>Setterwalls</t>
        </is>
      </c>
      <c r="B80" s="90" t="n">
        <v>0</v>
      </c>
      <c r="C80" s="90" t="n">
        <v>13</v>
      </c>
      <c r="D80" s="107">
        <f>B80-C80</f>
        <v/>
      </c>
    </row>
    <row r="82">
      <c r="A82" s="45" t="inlineStr">
        <is>
          <t>Schjødt gains: Wehtje, Boström, Björklund (counted in losses again when they left). Setterwalls losses include 12 Malmö partners to Ascente/AGRD. Snellman: Montin partner status unconfirmed.</t>
        </is>
      </c>
    </row>
    <row r="84">
      <c r="A84" s="47" t="inlineStr">
        <is>
          <t>F5. Key takeaways</t>
        </is>
      </c>
    </row>
    <row r="85">
      <c r="A85" t="inlineStr">
        <is>
          <t>- Consolidation accelerated from 2025: AGRD (Axcel) has assembled 11 firms in ~13 months (incl. Setterwalls Malmö, Wigge, Moll Wendén) and says more acquisitions are planned. AGRD firms must leave the Bar (no external ownership of advokat firms).</t>
        </is>
      </c>
    </row>
    <row r="86">
      <c r="A86" t="inlineStr">
        <is>
          <t>- Nordic firms enter Sweden via combinations and lifts: Schjødt (Hamilton, 2020), CMS (Wistrand, 2024), BAHR (8 Schjødt partners, 2026).</t>
        </is>
      </c>
    </row>
    <row r="87">
      <c r="A87" t="inlineStr">
        <is>
          <t>- Team lifts concentrate in real estate (G&amp;D from Linklaters; Cirio from AG Advokat) and M&amp;A/finance (MAQS from Delphi; BAHR from Schjødt).</t>
        </is>
      </c>
    </row>
    <row r="88">
      <c r="A88" t="inlineStr">
        <is>
          <t>- Net losers of partners: Setterwalls (Malmö exit), Schjødt, Snellman, Delphi and AG Advokat. The Big 3 (MSA, Vinge, Roschier) show no team losses.</t>
        </is>
      </c>
    </row>
    <row r="89">
      <c r="A89" t="inlineStr">
        <is>
          <t>- Splits are rising: Hannes Snellman (2024), MAQS (2026/27) and Glimstedt's Stockholm/Göteborg offices (2021).</t>
        </is>
      </c>
    </row>
    <row r="91">
      <c r="A91" s="45" t="inlineStr">
        <is>
          <t>Not verified / gaps: Hannes Snellman Sweden rename to "Snellman" (no formal notice found); no qualifying team moves found out of MSA, Vinge or Roschier; 2020-23 coverage thinner. All URLs prefixed https://www.</t>
        </is>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2026-10-08T13:04:42Z</dcterms:created>
  <dcterms:modified xmlns:dcterms="http://purl.org/dc/terms/" xmlns:xsi="http://www.w3.org/2001/XMLSchema-instance" xsi:type="dcterms:W3CDTF">2026-10-13T10:36:12Z</dcterms:modified>
</cp:coreProperties>
</file>